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ernandez8\Documents\KiCad\ADHW\"/>
    </mc:Choice>
  </mc:AlternateContent>
  <xr:revisionPtr revIDLastSave="0" documentId="13_ncr:1_{6F948D3D-7FAE-4420-B134-1AFFF54DBDC4}" xr6:coauthVersionLast="47" xr6:coauthVersionMax="47" xr10:uidLastSave="{00000000-0000-0000-0000-000000000000}"/>
  <bookViews>
    <workbookView xWindow="28680" yWindow="-120" windowWidth="29040" windowHeight="15720" xr2:uid="{C52B0759-189D-4408-80C7-3E54B8A17DBB}"/>
  </bookViews>
  <sheets>
    <sheet name="stackup" sheetId="4" r:id="rId1"/>
    <sheet name="Sheet1" sheetId="7" r:id="rId2"/>
    <sheet name="Sheet2" sheetId="6" r:id="rId3"/>
    <sheet name="voltage rails" sheetId="2" r:id="rId4"/>
    <sheet name="zynq pinout" sheetId="3" r:id="rId5"/>
  </sheets>
  <definedNames>
    <definedName name="_xlnm._FilterDatabase" localSheetId="4" hidden="1">'zynq pinout'!$A$1:$E$401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4" l="1"/>
  <c r="O18" i="4"/>
  <c r="O16" i="4"/>
  <c r="O14" i="4"/>
  <c r="O12" i="4"/>
  <c r="O10" i="4"/>
  <c r="O8" i="4"/>
  <c r="O6" i="4"/>
  <c r="L22" i="4"/>
  <c r="M14" i="4"/>
  <c r="N14" i="4" s="1"/>
  <c r="K14" i="4"/>
  <c r="I14" i="4"/>
  <c r="M18" i="4"/>
  <c r="K18" i="4"/>
  <c r="I18" i="4"/>
  <c r="K22" i="4"/>
  <c r="I22" i="4"/>
  <c r="K4" i="4"/>
  <c r="I4" i="4"/>
  <c r="L4" i="4"/>
  <c r="N4" i="4" s="1"/>
  <c r="N22" i="4" l="1"/>
  <c r="N18" i="4"/>
</calcChain>
</file>

<file path=xl/sharedStrings.xml><?xml version="1.0" encoding="utf-8"?>
<sst xmlns="http://schemas.openxmlformats.org/spreadsheetml/2006/main" count="3509" uniqueCount="767">
  <si>
    <t>Voltage rail name</t>
  </si>
  <si>
    <t>+5V_USB</t>
  </si>
  <si>
    <t>+3V3</t>
  </si>
  <si>
    <t>+1V8_FTDI</t>
  </si>
  <si>
    <t>Where Used</t>
  </si>
  <si>
    <t>USB PHY Internal LDO</t>
  </si>
  <si>
    <t>+2.5V</t>
  </si>
  <si>
    <t>+1.1V</t>
  </si>
  <si>
    <t>Where From</t>
  </si>
  <si>
    <t>USB PHY</t>
  </si>
  <si>
    <t>Gigabit Ethernet PHY</t>
  </si>
  <si>
    <t>USB plug</t>
  </si>
  <si>
    <t>Remember to select the correct ferrite bead for the desired frequency suppresion (Fresonant = 10 Fsuppressed)</t>
  </si>
  <si>
    <t>Circle back to the Gigabit Ethernet sheet and see what are the pullup resistors for</t>
  </si>
  <si>
    <t>Some components may not have values because that is the job of the Electrical Engineer</t>
  </si>
  <si>
    <t>Make evident that I changed some of the components, like the Buck converters</t>
  </si>
  <si>
    <t>Pin</t>
  </si>
  <si>
    <t>Pin Name</t>
  </si>
  <si>
    <t>Memory Byte Group</t>
  </si>
  <si>
    <t>Bank</t>
  </si>
  <si>
    <t>I/O Type</t>
  </si>
  <si>
    <t>R11</t>
  </si>
  <si>
    <t>DONE_0</t>
  </si>
  <si>
    <t>NA</t>
  </si>
  <si>
    <t>CONFIG</t>
  </si>
  <si>
    <t>M9</t>
  </si>
  <si>
    <t>DXP_0</t>
  </si>
  <si>
    <t>J10</t>
  </si>
  <si>
    <t>GNDADC_0</t>
  </si>
  <si>
    <t>J9</t>
  </si>
  <si>
    <t>VCCADC_0</t>
  </si>
  <si>
    <t>L9</t>
  </si>
  <si>
    <t>VREFP_0</t>
  </si>
  <si>
    <t>L10</t>
  </si>
  <si>
    <t>VN_0</t>
  </si>
  <si>
    <t>F11</t>
  </si>
  <si>
    <t>VCCBATT_0</t>
  </si>
  <si>
    <t>F9</t>
  </si>
  <si>
    <t>TCK_0</t>
  </si>
  <si>
    <t>M10</t>
  </si>
  <si>
    <t>DXN_0</t>
  </si>
  <si>
    <t>K10</t>
  </si>
  <si>
    <t>VREFN_0</t>
  </si>
  <si>
    <t>K9</t>
  </si>
  <si>
    <t>VP_0</t>
  </si>
  <si>
    <t>F10</t>
  </si>
  <si>
    <t>RSVDGND</t>
  </si>
  <si>
    <t>N6</t>
  </si>
  <si>
    <t>RSVDVCC3</t>
  </si>
  <si>
    <t>R6</t>
  </si>
  <si>
    <t>RSVDVCC2</t>
  </si>
  <si>
    <t>R10</t>
  </si>
  <si>
    <t>INIT_B_0</t>
  </si>
  <si>
    <t>G6</t>
  </si>
  <si>
    <t>TDI_0</t>
  </si>
  <si>
    <t>F6</t>
  </si>
  <si>
    <t>TDO_0</t>
  </si>
  <si>
    <t>T6</t>
  </si>
  <si>
    <t>RSVDVCC1</t>
  </si>
  <si>
    <t>M6</t>
  </si>
  <si>
    <t>CFGBVS_0</t>
  </si>
  <si>
    <t>L6</t>
  </si>
  <si>
    <t>PROGRAM_B_0</t>
  </si>
  <si>
    <t>J6</t>
  </si>
  <si>
    <t>TMS_0</t>
  </si>
  <si>
    <t>V5</t>
  </si>
  <si>
    <t>NC</t>
  </si>
  <si>
    <t>NOPAD/UNCONNECTED</t>
  </si>
  <si>
    <t>U7</t>
  </si>
  <si>
    <t>V7</t>
  </si>
  <si>
    <t>T9</t>
  </si>
  <si>
    <t>U10</t>
  </si>
  <si>
    <t>Y7</t>
  </si>
  <si>
    <t>Y6</t>
  </si>
  <si>
    <t>Y9</t>
  </si>
  <si>
    <t>Y8</t>
  </si>
  <si>
    <t>V8</t>
  </si>
  <si>
    <t>W8</t>
  </si>
  <si>
    <t>W10</t>
  </si>
  <si>
    <t>W9</t>
  </si>
  <si>
    <t>U9</t>
  </si>
  <si>
    <t>U8</t>
  </si>
  <si>
    <t>W11</t>
  </si>
  <si>
    <t>Y11</t>
  </si>
  <si>
    <t>T5</t>
  </si>
  <si>
    <t>U5</t>
  </si>
  <si>
    <t>Y12</t>
  </si>
  <si>
    <t>Y13</t>
  </si>
  <si>
    <t>V11</t>
  </si>
  <si>
    <t>V10</t>
  </si>
  <si>
    <t>V6</t>
  </si>
  <si>
    <t>W6</t>
  </si>
  <si>
    <t>R19</t>
  </si>
  <si>
    <t>IO_0_34</t>
  </si>
  <si>
    <t>HR</t>
  </si>
  <si>
    <t>T11</t>
  </si>
  <si>
    <t>IO_L1P_T0_34</t>
  </si>
  <si>
    <t>T10</t>
  </si>
  <si>
    <t>IO_L1N_T0_34</t>
  </si>
  <si>
    <t>T12</t>
  </si>
  <si>
    <t>IO_L2P_T0_34</t>
  </si>
  <si>
    <t>U12</t>
  </si>
  <si>
    <t>IO_L2N_T0_34</t>
  </si>
  <si>
    <t>U13</t>
  </si>
  <si>
    <t>IO_L3P_T0_DQS_PUDC_B_34</t>
  </si>
  <si>
    <t>V13</t>
  </si>
  <si>
    <t>IO_L3N_T0_DQS_34</t>
  </si>
  <si>
    <t>V12</t>
  </si>
  <si>
    <t>IO_L4P_T0_34</t>
  </si>
  <si>
    <t>W13</t>
  </si>
  <si>
    <t>IO_L4N_T0_34</t>
  </si>
  <si>
    <t>T14</t>
  </si>
  <si>
    <t>IO_L5P_T0_34</t>
  </si>
  <si>
    <t>T15</t>
  </si>
  <si>
    <t>IO_L5N_T0_34</t>
  </si>
  <si>
    <t>P14</t>
  </si>
  <si>
    <t>IO_L6P_T0_34</t>
  </si>
  <si>
    <t>R14</t>
  </si>
  <si>
    <t>IO_L6N_T0_VREF_34</t>
  </si>
  <si>
    <t>Y16</t>
  </si>
  <si>
    <t>IO_L7P_T1_34</t>
  </si>
  <si>
    <t>Y17</t>
  </si>
  <si>
    <t>IO_L7N_T1_34</t>
  </si>
  <si>
    <t>W14</t>
  </si>
  <si>
    <t>IO_L8P_T1_34</t>
  </si>
  <si>
    <t>Y14</t>
  </si>
  <si>
    <t>IO_L8N_T1_34</t>
  </si>
  <si>
    <t>T16</t>
  </si>
  <si>
    <t>IO_L9P_T1_DQS_34</t>
  </si>
  <si>
    <t>U17</t>
  </si>
  <si>
    <t>IO_L9N_T1_DQS_34</t>
  </si>
  <si>
    <t>V15</t>
  </si>
  <si>
    <t>IO_L10P_T1_34</t>
  </si>
  <si>
    <t>W15</t>
  </si>
  <si>
    <t>IO_L10N_T1_34</t>
  </si>
  <si>
    <t>U14</t>
  </si>
  <si>
    <t>IO_L11P_T1_SRCC_34</t>
  </si>
  <si>
    <t>U15</t>
  </si>
  <si>
    <t>IO_L11N_T1_SRCC_34</t>
  </si>
  <si>
    <t>U18</t>
  </si>
  <si>
    <t>IO_L12P_T1_MRCC_34</t>
  </si>
  <si>
    <t>U19</t>
  </si>
  <si>
    <t>IO_L12N_T1_MRCC_34</t>
  </si>
  <si>
    <t>N18</t>
  </si>
  <si>
    <t>IO_L13P_T2_MRCC_34</t>
  </si>
  <si>
    <t>P19</t>
  </si>
  <si>
    <t>IO_L13N_T2_MRCC_34</t>
  </si>
  <si>
    <t>N20</t>
  </si>
  <si>
    <t>IO_L14P_T2_SRCC_34</t>
  </si>
  <si>
    <t>P20</t>
  </si>
  <si>
    <t>IO_L14N_T2_SRCC_34</t>
  </si>
  <si>
    <t>T20</t>
  </si>
  <si>
    <t>IO_L15P_T2_DQS_34</t>
  </si>
  <si>
    <t>U20</t>
  </si>
  <si>
    <t>IO_L15N_T2_DQS_34</t>
  </si>
  <si>
    <t>V20</t>
  </si>
  <si>
    <t>IO_L16P_T2_34</t>
  </si>
  <si>
    <t>W20</t>
  </si>
  <si>
    <t>IO_L16N_T2_34</t>
  </si>
  <si>
    <t>Y18</t>
  </si>
  <si>
    <t>IO_L17P_T2_34</t>
  </si>
  <si>
    <t>Y19</t>
  </si>
  <si>
    <t>IO_L17N_T2_34</t>
  </si>
  <si>
    <t>V16</t>
  </si>
  <si>
    <t>IO_L18P_T2_34</t>
  </si>
  <si>
    <t>W16</t>
  </si>
  <si>
    <t>IO_L18N_T2_34</t>
  </si>
  <si>
    <t>R16</t>
  </si>
  <si>
    <t>IO_L19P_T3_34</t>
  </si>
  <si>
    <t>R17</t>
  </si>
  <si>
    <t>IO_L19N_T3_VREF_34</t>
  </si>
  <si>
    <t>T17</t>
  </si>
  <si>
    <t>IO_L20P_T3_34</t>
  </si>
  <si>
    <t>R18</t>
  </si>
  <si>
    <t>IO_L20N_T3_34</t>
  </si>
  <si>
    <t>V17</t>
  </si>
  <si>
    <t>IO_L21P_T3_DQS_34</t>
  </si>
  <si>
    <t>V18</t>
  </si>
  <si>
    <t>IO_L21N_T3_DQS_34</t>
  </si>
  <si>
    <t>W18</t>
  </si>
  <si>
    <t>IO_L22P_T3_34</t>
  </si>
  <si>
    <t>W19</t>
  </si>
  <si>
    <t>IO_L22N_T3_34</t>
  </si>
  <si>
    <t>N17</t>
  </si>
  <si>
    <t>IO_L23P_T3_34</t>
  </si>
  <si>
    <t>P18</t>
  </si>
  <si>
    <t>IO_L23N_T3_34</t>
  </si>
  <si>
    <t>P15</t>
  </si>
  <si>
    <t>IO_L24P_T3_34</t>
  </si>
  <si>
    <t>P16</t>
  </si>
  <si>
    <t>IO_L24N_T3_34</t>
  </si>
  <si>
    <t>T19</t>
  </si>
  <si>
    <t>IO_25_34</t>
  </si>
  <si>
    <t>G14</t>
  </si>
  <si>
    <t>IO_0_35</t>
  </si>
  <si>
    <t>C20</t>
  </si>
  <si>
    <t>IO_L1P_T0_AD0P_35</t>
  </si>
  <si>
    <t>B20</t>
  </si>
  <si>
    <t>IO_L1N_T0_AD0N_35</t>
  </si>
  <si>
    <t>B19</t>
  </si>
  <si>
    <t>IO_L2P_T0_AD8P_35</t>
  </si>
  <si>
    <t>A20</t>
  </si>
  <si>
    <t>IO_L2N_T0_AD8N_35</t>
  </si>
  <si>
    <t>E17</t>
  </si>
  <si>
    <t>IO_L3P_T0_DQS_AD1P_35</t>
  </si>
  <si>
    <t>D18</t>
  </si>
  <si>
    <t>IO_L3N_T0_DQS_AD1N_35</t>
  </si>
  <si>
    <t>D19</t>
  </si>
  <si>
    <t>IO_L4P_T0_35</t>
  </si>
  <si>
    <t>D20</t>
  </si>
  <si>
    <t>IO_L4N_T0_35</t>
  </si>
  <si>
    <t>E18</t>
  </si>
  <si>
    <t>IO_L5P_T0_AD9P_35</t>
  </si>
  <si>
    <t>E19</t>
  </si>
  <si>
    <t>IO_L5N_T0_AD9N_35</t>
  </si>
  <si>
    <t>F16</t>
  </si>
  <si>
    <t>IO_L6P_T0_35</t>
  </si>
  <si>
    <t>F17</t>
  </si>
  <si>
    <t>IO_L6N_T0_VREF_35</t>
  </si>
  <si>
    <t>M19</t>
  </si>
  <si>
    <t>IO_L7P_T1_AD2P_35</t>
  </si>
  <si>
    <t>M20</t>
  </si>
  <si>
    <t>IO_L7N_T1_AD2N_35</t>
  </si>
  <si>
    <t>M17</t>
  </si>
  <si>
    <t>IO_L8P_T1_AD10P_35</t>
  </si>
  <si>
    <t>M18</t>
  </si>
  <si>
    <t>IO_L8N_T1_AD10N_35</t>
  </si>
  <si>
    <t>L19</t>
  </si>
  <si>
    <t>IO_L9P_T1_DQS_AD3P_35</t>
  </si>
  <si>
    <t>L20</t>
  </si>
  <si>
    <t>IO_L9N_T1_DQS_AD3N_35</t>
  </si>
  <si>
    <t>K19</t>
  </si>
  <si>
    <t>IO_L10P_T1_AD11P_35</t>
  </si>
  <si>
    <t>J19</t>
  </si>
  <si>
    <t>IO_L10N_T1_AD11N_35</t>
  </si>
  <si>
    <t>L16</t>
  </si>
  <si>
    <t>IO_L11P_T1_SRCC_35</t>
  </si>
  <si>
    <t>L17</t>
  </si>
  <si>
    <t>IO_L11N_T1_SRCC_35</t>
  </si>
  <si>
    <t>K17</t>
  </si>
  <si>
    <t>IO_L12P_T1_MRCC_35</t>
  </si>
  <si>
    <t>K18</t>
  </si>
  <si>
    <t>IO_L12N_T1_MRCC_35</t>
  </si>
  <si>
    <t>H16</t>
  </si>
  <si>
    <t>IO_L13P_T2_MRCC_35</t>
  </si>
  <si>
    <t>H17</t>
  </si>
  <si>
    <t>IO_L13N_T2_MRCC_35</t>
  </si>
  <si>
    <t>J18</t>
  </si>
  <si>
    <t>IO_L14P_T2_AD4P_SRCC_35</t>
  </si>
  <si>
    <t>H18</t>
  </si>
  <si>
    <t>IO_L14N_T2_AD4N_SRCC_35</t>
  </si>
  <si>
    <t>F19</t>
  </si>
  <si>
    <t>IO_L15P_T2_DQS_AD12P_35</t>
  </si>
  <si>
    <t>F20</t>
  </si>
  <si>
    <t>IO_L15N_T2_DQS_AD12N_35</t>
  </si>
  <si>
    <t>G17</t>
  </si>
  <si>
    <t>IO_L16P_T2_35</t>
  </si>
  <si>
    <t>G18</t>
  </si>
  <si>
    <t>IO_L16N_T2_35</t>
  </si>
  <si>
    <t>J20</t>
  </si>
  <si>
    <t>IO_L17P_T2_AD5P_35</t>
  </si>
  <si>
    <t>H20</t>
  </si>
  <si>
    <t>IO_L17N_T2_AD5N_35</t>
  </si>
  <si>
    <t>G19</t>
  </si>
  <si>
    <t>IO_L18P_T2_AD13P_35</t>
  </si>
  <si>
    <t>G20</t>
  </si>
  <si>
    <t>IO_L18N_T2_AD13N_35</t>
  </si>
  <si>
    <t>H15</t>
  </si>
  <si>
    <t>IO_L19P_T3_35</t>
  </si>
  <si>
    <t>G15</t>
  </si>
  <si>
    <t>IO_L19N_T3_VREF_35</t>
  </si>
  <si>
    <t>K14</t>
  </si>
  <si>
    <t>IO_L20P_T3_AD6P_35</t>
  </si>
  <si>
    <t>J14</t>
  </si>
  <si>
    <t>IO_L20N_T3_AD6N_35</t>
  </si>
  <si>
    <t>N15</t>
  </si>
  <si>
    <t>IO_L21P_T3_DQS_AD14P_35</t>
  </si>
  <si>
    <t>N16</t>
  </si>
  <si>
    <t>IO_L21N_T3_DQS_AD14N_35</t>
  </si>
  <si>
    <t>L14</t>
  </si>
  <si>
    <t>IO_L22P_T3_AD7P_35</t>
  </si>
  <si>
    <t>L15</t>
  </si>
  <si>
    <t>IO_L22N_T3_AD7N_35</t>
  </si>
  <si>
    <t>M14</t>
  </si>
  <si>
    <t>IO_L23P_T3_35</t>
  </si>
  <si>
    <t>M15</t>
  </si>
  <si>
    <t>IO_L23N_T3_35</t>
  </si>
  <si>
    <t>K16</t>
  </si>
  <si>
    <t>IO_L24P_T3_AD15P_35</t>
  </si>
  <si>
    <t>J16</t>
  </si>
  <si>
    <t>IO_L24N_T3_AD15N_35</t>
  </si>
  <si>
    <t>J15</t>
  </si>
  <si>
    <t>IO_25_35</t>
  </si>
  <si>
    <t>E7</t>
  </si>
  <si>
    <t>PS_CLK_500</t>
  </si>
  <si>
    <t>MIO</t>
  </si>
  <si>
    <t>E11</t>
  </si>
  <si>
    <t>PS_MIO_VREF_501</t>
  </si>
  <si>
    <t>C7</t>
  </si>
  <si>
    <t>PS_POR_B_500</t>
  </si>
  <si>
    <t>C8</t>
  </si>
  <si>
    <t>PS_MIO15_500</t>
  </si>
  <si>
    <t>E14</t>
  </si>
  <si>
    <t>PS_MIO17_501</t>
  </si>
  <si>
    <t>D10</t>
  </si>
  <si>
    <t>PS_MIO19_501</t>
  </si>
  <si>
    <t>F14</t>
  </si>
  <si>
    <t>PS_MIO21_501</t>
  </si>
  <si>
    <t>D11</t>
  </si>
  <si>
    <t>PS_MIO23_501</t>
  </si>
  <si>
    <t>F15</t>
  </si>
  <si>
    <t>PS_MIO25_501</t>
  </si>
  <si>
    <t>D13</t>
  </si>
  <si>
    <t>PS_MIO27_501</t>
  </si>
  <si>
    <t>C13</t>
  </si>
  <si>
    <t>PS_MIO29_501</t>
  </si>
  <si>
    <t>E16</t>
  </si>
  <si>
    <t>PS_MIO31_501</t>
  </si>
  <si>
    <t>D15</t>
  </si>
  <si>
    <t>PS_MIO33_501</t>
  </si>
  <si>
    <t>F12</t>
  </si>
  <si>
    <t>PS_MIO35_501</t>
  </si>
  <si>
    <t>E13</t>
  </si>
  <si>
    <t>PS_MIO38_501</t>
  </si>
  <si>
    <t>D14</t>
  </si>
  <si>
    <t>PS_MIO40_501</t>
  </si>
  <si>
    <t>E12</t>
  </si>
  <si>
    <t>PS_MIO42_501</t>
  </si>
  <si>
    <t>F13</t>
  </si>
  <si>
    <t>PS_MIO44_501</t>
  </si>
  <si>
    <t>D16</t>
  </si>
  <si>
    <t>PS_MIO46_501</t>
  </si>
  <si>
    <t>B12</t>
  </si>
  <si>
    <t>PS_MIO48_501</t>
  </si>
  <si>
    <t>B13</t>
  </si>
  <si>
    <t>PS_MIO50_501</t>
  </si>
  <si>
    <t>C10</t>
  </si>
  <si>
    <t>PS_MIO52_501</t>
  </si>
  <si>
    <t>B10</t>
  </si>
  <si>
    <t>PS_SRST_B_501</t>
  </si>
  <si>
    <t>C5</t>
  </si>
  <si>
    <t>PS_MIO14_500</t>
  </si>
  <si>
    <t>A19</t>
  </si>
  <si>
    <t>PS_MIO16_501</t>
  </si>
  <si>
    <t>B18</t>
  </si>
  <si>
    <t>PS_MIO18_501</t>
  </si>
  <si>
    <t>A17</t>
  </si>
  <si>
    <t>PS_MIO20_501</t>
  </si>
  <si>
    <t>B17</t>
  </si>
  <si>
    <t>PS_MIO22_501</t>
  </si>
  <si>
    <t>A16</t>
  </si>
  <si>
    <t>PS_MIO24_501</t>
  </si>
  <si>
    <t>A15</t>
  </si>
  <si>
    <t>PS_MIO26_501</t>
  </si>
  <si>
    <t>C16</t>
  </si>
  <si>
    <t>PS_MIO28_501</t>
  </si>
  <si>
    <t>C15</t>
  </si>
  <si>
    <t>PS_MIO30_501</t>
  </si>
  <si>
    <t>A14</t>
  </si>
  <si>
    <t>PS_MIO32_501</t>
  </si>
  <si>
    <t>A12</t>
  </si>
  <si>
    <t>PS_MIO34_501</t>
  </si>
  <si>
    <t>A11</t>
  </si>
  <si>
    <t>PS_MIO36_501</t>
  </si>
  <si>
    <t>A10</t>
  </si>
  <si>
    <t>PS_MIO37_501</t>
  </si>
  <si>
    <t>C18</t>
  </si>
  <si>
    <t>PS_MIO39_501</t>
  </si>
  <si>
    <t>C17</t>
  </si>
  <si>
    <t>PS_MIO41_501</t>
  </si>
  <si>
    <t>A9</t>
  </si>
  <si>
    <t>PS_MIO43_501</t>
  </si>
  <si>
    <t>B15</t>
  </si>
  <si>
    <t>PS_MIO45_501</t>
  </si>
  <si>
    <t>B14</t>
  </si>
  <si>
    <t>PS_MIO47_501</t>
  </si>
  <si>
    <t>C12</t>
  </si>
  <si>
    <t>PS_MIO49_501</t>
  </si>
  <si>
    <t>B9</t>
  </si>
  <si>
    <t>PS_MIO51_501</t>
  </si>
  <si>
    <t>C11</t>
  </si>
  <si>
    <t>PS_MIO53_501</t>
  </si>
  <si>
    <t>E8</t>
  </si>
  <si>
    <t>PS_MIO13_500</t>
  </si>
  <si>
    <t>D9</t>
  </si>
  <si>
    <t>PS_MIO12_500</t>
  </si>
  <si>
    <t>C6</t>
  </si>
  <si>
    <t>PS_MIO11_500</t>
  </si>
  <si>
    <t>E9</t>
  </si>
  <si>
    <t>PS_MIO10_500</t>
  </si>
  <si>
    <t>B5</t>
  </si>
  <si>
    <t>PS_MIO9_500</t>
  </si>
  <si>
    <t>D5</t>
  </si>
  <si>
    <t>PS_MIO8_500</t>
  </si>
  <si>
    <t>D8</t>
  </si>
  <si>
    <t>PS_MIO7_500</t>
  </si>
  <si>
    <t>A5</t>
  </si>
  <si>
    <t>PS_MIO6_500</t>
  </si>
  <si>
    <t>A6</t>
  </si>
  <si>
    <t>PS_MIO5_500</t>
  </si>
  <si>
    <t>B7</t>
  </si>
  <si>
    <t>PS_MIO4_500</t>
  </si>
  <si>
    <t>D6</t>
  </si>
  <si>
    <t>PS_MIO3_500</t>
  </si>
  <si>
    <t>B8</t>
  </si>
  <si>
    <t>PS_MIO2_500</t>
  </si>
  <si>
    <t>A7</t>
  </si>
  <si>
    <t>PS_MIO1_500</t>
  </si>
  <si>
    <t>E6</t>
  </si>
  <si>
    <t>PS_MIO0_500</t>
  </si>
  <si>
    <t>B4</t>
  </si>
  <si>
    <t>PS_DDR_DRST_B_502</t>
  </si>
  <si>
    <t>DDR</t>
  </si>
  <si>
    <t>C3</t>
  </si>
  <si>
    <t>PS_DDR_DQ0_502</t>
  </si>
  <si>
    <t>B3</t>
  </si>
  <si>
    <t>PS_DDR_DQ1_502</t>
  </si>
  <si>
    <t>A2</t>
  </si>
  <si>
    <t>PS_DDR_DQ2_502</t>
  </si>
  <si>
    <t>A4</t>
  </si>
  <si>
    <t>PS_DDR_DQ3_502</t>
  </si>
  <si>
    <t>A1</t>
  </si>
  <si>
    <t>PS_DDR_DM0_502</t>
  </si>
  <si>
    <t>C2</t>
  </si>
  <si>
    <t>PS_DDR_DQS_P0_502</t>
  </si>
  <si>
    <t>B2</t>
  </si>
  <si>
    <t>PS_DDR_DQS_N0_502</t>
  </si>
  <si>
    <t>D3</t>
  </si>
  <si>
    <t>PS_DDR_DQ4_502</t>
  </si>
  <si>
    <t>D1</t>
  </si>
  <si>
    <t>PS_DDR_DQ5_502</t>
  </si>
  <si>
    <t>C1</t>
  </si>
  <si>
    <t>PS_DDR_DQ6_502</t>
  </si>
  <si>
    <t>E1</t>
  </si>
  <si>
    <t>PS_DDR_DQ7_502</t>
  </si>
  <si>
    <t>E2</t>
  </si>
  <si>
    <t>PS_DDR_DQ8_502</t>
  </si>
  <si>
    <t>E3</t>
  </si>
  <si>
    <t>PS_DDR_DQ9_502</t>
  </si>
  <si>
    <t>G3</t>
  </si>
  <si>
    <t>PS_DDR_DQ10_502</t>
  </si>
  <si>
    <t>H3</t>
  </si>
  <si>
    <t>PS_DDR_DQ11_502</t>
  </si>
  <si>
    <t>F1</t>
  </si>
  <si>
    <t>PS_DDR_DM1_502</t>
  </si>
  <si>
    <t>G2</t>
  </si>
  <si>
    <t>PS_DDR_DQS_P1_502</t>
  </si>
  <si>
    <t>F2</t>
  </si>
  <si>
    <t>PS_DDR_DQS_N1_502</t>
  </si>
  <si>
    <t>J3</t>
  </si>
  <si>
    <t>PS_DDR_DQ12_502</t>
  </si>
  <si>
    <t>H2</t>
  </si>
  <si>
    <t>PS_DDR_DQ13_502</t>
  </si>
  <si>
    <t>H1</t>
  </si>
  <si>
    <t>PS_DDR_DQ14_502</t>
  </si>
  <si>
    <t>J1</t>
  </si>
  <si>
    <t>PS_DDR_DQ15_502</t>
  </si>
  <si>
    <t>F4</t>
  </si>
  <si>
    <t>PS_DDR_A14_502</t>
  </si>
  <si>
    <t>D4</t>
  </si>
  <si>
    <t>PS_DDR_A13_502</t>
  </si>
  <si>
    <t>E4</t>
  </si>
  <si>
    <t>PS_DDR_A12_502</t>
  </si>
  <si>
    <t>G4</t>
  </si>
  <si>
    <t>PS_DDR_A11_502</t>
  </si>
  <si>
    <t>F5</t>
  </si>
  <si>
    <t>PS_DDR_A10_502</t>
  </si>
  <si>
    <t>J4</t>
  </si>
  <si>
    <t>PS_DDR_A9_502</t>
  </si>
  <si>
    <t>K1</t>
  </si>
  <si>
    <t>PS_DDR_A8_502</t>
  </si>
  <si>
    <t>K4</t>
  </si>
  <si>
    <t>PS_DDR_A7_502</t>
  </si>
  <si>
    <t>L4</t>
  </si>
  <si>
    <t>PS_DDR_A6_502</t>
  </si>
  <si>
    <t>L1</t>
  </si>
  <si>
    <t>PS_DDR_A5_502</t>
  </si>
  <si>
    <t>M4</t>
  </si>
  <si>
    <t>PS_DDR_A4_502</t>
  </si>
  <si>
    <t>K3</t>
  </si>
  <si>
    <t>PS_DDR_A3_502</t>
  </si>
  <si>
    <t>G5</t>
  </si>
  <si>
    <t>PS_DDR_VRN_502</t>
  </si>
  <si>
    <t>H5</t>
  </si>
  <si>
    <t>PS_DDR_VRP_502</t>
  </si>
  <si>
    <t>L2</t>
  </si>
  <si>
    <t>PS_DDR_CKP_502</t>
  </si>
  <si>
    <t>M2</t>
  </si>
  <si>
    <t>PS_DDR_CKN_502</t>
  </si>
  <si>
    <t>M3</t>
  </si>
  <si>
    <t>PS_DDR_A2_502</t>
  </si>
  <si>
    <t>K2</t>
  </si>
  <si>
    <t>PS_DDR_A1_502</t>
  </si>
  <si>
    <t>N2</t>
  </si>
  <si>
    <t>PS_DDR_A0_502</t>
  </si>
  <si>
    <t>J5</t>
  </si>
  <si>
    <t>PS_DDR_BA2_502</t>
  </si>
  <si>
    <t>R4</t>
  </si>
  <si>
    <t>PS_DDR_BA1_502</t>
  </si>
  <si>
    <t>L5</t>
  </si>
  <si>
    <t>PS_DDR_BA0_502</t>
  </si>
  <si>
    <t>N5</t>
  </si>
  <si>
    <t>PS_DDR_ODT_502</t>
  </si>
  <si>
    <t>N1</t>
  </si>
  <si>
    <t>PS_DDR_CS_B_502</t>
  </si>
  <si>
    <t>N3</t>
  </si>
  <si>
    <t>PS_DDR_CKE_502</t>
  </si>
  <si>
    <t>M5</t>
  </si>
  <si>
    <t>PS_DDR_WE_B_502</t>
  </si>
  <si>
    <t>P5</t>
  </si>
  <si>
    <t>PS_DDR_CAS_B_502</t>
  </si>
  <si>
    <t>P4</t>
  </si>
  <si>
    <t>PS_DDR_RAS_B_502</t>
  </si>
  <si>
    <t>P1</t>
  </si>
  <si>
    <t>PS_DDR_DQ16_502</t>
  </si>
  <si>
    <t>P3</t>
  </si>
  <si>
    <t>PS_DDR_DQ17_502</t>
  </si>
  <si>
    <t>R3</t>
  </si>
  <si>
    <t>PS_DDR_DQ18_502</t>
  </si>
  <si>
    <t>R1</t>
  </si>
  <si>
    <t>PS_DDR_DQ19_502</t>
  </si>
  <si>
    <t>T1</t>
  </si>
  <si>
    <t>PS_DDR_DM2_502</t>
  </si>
  <si>
    <t>R2</t>
  </si>
  <si>
    <t>PS_DDR_DQS_P2_502</t>
  </si>
  <si>
    <t>T2</t>
  </si>
  <si>
    <t>PS_DDR_DQS_N2_502</t>
  </si>
  <si>
    <t>T4</t>
  </si>
  <si>
    <t>PS_DDR_DQ20_502</t>
  </si>
  <si>
    <t>U4</t>
  </si>
  <si>
    <t>PS_DDR_DQ21_502</t>
  </si>
  <si>
    <t>U2</t>
  </si>
  <si>
    <t>PS_DDR_DQ22_502</t>
  </si>
  <si>
    <t>U3</t>
  </si>
  <si>
    <t>PS_DDR_DQ23_502</t>
  </si>
  <si>
    <t>V1</t>
  </si>
  <si>
    <t>PS_DDR_DQ24_502</t>
  </si>
  <si>
    <t>Y3</t>
  </si>
  <si>
    <t>PS_DDR_DQ25_502</t>
  </si>
  <si>
    <t>W1</t>
  </si>
  <si>
    <t>PS_DDR_DQ26_502</t>
  </si>
  <si>
    <t>Y4</t>
  </si>
  <si>
    <t>PS_DDR_DQ27_502</t>
  </si>
  <si>
    <t>Y1</t>
  </si>
  <si>
    <t>PS_DDR_DM3_502</t>
  </si>
  <si>
    <t>V2</t>
  </si>
  <si>
    <t>PS_DDR_DQ30_502</t>
  </si>
  <si>
    <t>Y2</t>
  </si>
  <si>
    <t>PS_DDR_DQ28_502</t>
  </si>
  <si>
    <t>W4</t>
  </si>
  <si>
    <t>PS_DDR_DQS_N3_502</t>
  </si>
  <si>
    <t>V3</t>
  </si>
  <si>
    <t>PS_DDR_DQ31_502</t>
  </si>
  <si>
    <t>W3</t>
  </si>
  <si>
    <t>PS_DDR_DQ29_502</t>
  </si>
  <si>
    <t>W5</t>
  </si>
  <si>
    <t>PS_DDR_DQS_P3_502</t>
  </si>
  <si>
    <t>A8</t>
  </si>
  <si>
    <t>GND</t>
  </si>
  <si>
    <t>A18</t>
  </si>
  <si>
    <t>B1</t>
  </si>
  <si>
    <t>B11</t>
  </si>
  <si>
    <t>C4</t>
  </si>
  <si>
    <t>C14</t>
  </si>
  <si>
    <t>K11</t>
  </si>
  <si>
    <t>D17</t>
  </si>
  <si>
    <t>E10</t>
  </si>
  <si>
    <t>E20</t>
  </si>
  <si>
    <t>F3</t>
  </si>
  <si>
    <t>F7</t>
  </si>
  <si>
    <t>G10</t>
  </si>
  <si>
    <t>G12</t>
  </si>
  <si>
    <t>G16</t>
  </si>
  <si>
    <t>H7</t>
  </si>
  <si>
    <t>H9</t>
  </si>
  <si>
    <t>H11</t>
  </si>
  <si>
    <t>H13</t>
  </si>
  <si>
    <t>H19</t>
  </si>
  <si>
    <t>J2</t>
  </si>
  <si>
    <t>J8</t>
  </si>
  <si>
    <t>J12</t>
  </si>
  <si>
    <t>K5</t>
  </si>
  <si>
    <t>K7</t>
  </si>
  <si>
    <t>C9</t>
  </si>
  <si>
    <t>K13</t>
  </si>
  <si>
    <t>K15</t>
  </si>
  <si>
    <t>L8</t>
  </si>
  <si>
    <t>L12</t>
  </si>
  <si>
    <t>L18</t>
  </si>
  <si>
    <t>M1</t>
  </si>
  <si>
    <t>M7</t>
  </si>
  <si>
    <t>M11</t>
  </si>
  <si>
    <t>M13</t>
  </si>
  <si>
    <t>N4</t>
  </si>
  <si>
    <t>N8</t>
  </si>
  <si>
    <t>N10</t>
  </si>
  <si>
    <t>N12</t>
  </si>
  <si>
    <t>N14</t>
  </si>
  <si>
    <t>P7</t>
  </si>
  <si>
    <t>P9</t>
  </si>
  <si>
    <t>P11</t>
  </si>
  <si>
    <t>P13</t>
  </si>
  <si>
    <t>P17</t>
  </si>
  <si>
    <t>R8</t>
  </si>
  <si>
    <t>R12</t>
  </si>
  <si>
    <t>R20</t>
  </si>
  <si>
    <t>T3</t>
  </si>
  <si>
    <t>T7</t>
  </si>
  <si>
    <t>T13</t>
  </si>
  <si>
    <t>U6</t>
  </si>
  <si>
    <t>U16</t>
  </si>
  <si>
    <t>V9</t>
  </si>
  <si>
    <t>V19</t>
  </si>
  <si>
    <t>W2</t>
  </si>
  <si>
    <t>W12</t>
  </si>
  <si>
    <t>Y5</t>
  </si>
  <si>
    <t>Y15</t>
  </si>
  <si>
    <t>G13</t>
  </si>
  <si>
    <t>VCCINT</t>
  </si>
  <si>
    <t>H12</t>
  </si>
  <si>
    <t>J13</t>
  </si>
  <si>
    <t>K12</t>
  </si>
  <si>
    <t>L13</t>
  </si>
  <si>
    <t>M12</t>
  </si>
  <si>
    <t>N13</t>
  </si>
  <si>
    <t>P12</t>
  </si>
  <si>
    <t>R13</t>
  </si>
  <si>
    <t>J11</t>
  </si>
  <si>
    <t>VCCAUX</t>
  </si>
  <si>
    <t>L11</t>
  </si>
  <si>
    <t>N9</t>
  </si>
  <si>
    <t>P10</t>
  </si>
  <si>
    <t>R9</t>
  </si>
  <si>
    <t>N11</t>
  </si>
  <si>
    <t>K6</t>
  </si>
  <si>
    <t>VCCO_0</t>
  </si>
  <si>
    <t>T8</t>
  </si>
  <si>
    <t>VCCO_13</t>
  </si>
  <si>
    <t>U11</t>
  </si>
  <si>
    <t>W7</t>
  </si>
  <si>
    <t>Y10</t>
  </si>
  <si>
    <t>N19</t>
  </si>
  <si>
    <t>VCCO_34</t>
  </si>
  <si>
    <t>R15</t>
  </si>
  <si>
    <t>T18</t>
  </si>
  <si>
    <t>V14</t>
  </si>
  <si>
    <t>W17</t>
  </si>
  <si>
    <t>Y20</t>
  </si>
  <si>
    <t>C19</t>
  </si>
  <si>
    <t>VCCO_35</t>
  </si>
  <si>
    <t>F18</t>
  </si>
  <si>
    <t>H14</t>
  </si>
  <si>
    <t>J17</t>
  </si>
  <si>
    <t>K20</t>
  </si>
  <si>
    <t>M16</t>
  </si>
  <si>
    <t>G11</t>
  </si>
  <si>
    <t>VCCBRAM</t>
  </si>
  <si>
    <t>H10</t>
  </si>
  <si>
    <t>A3</t>
  </si>
  <si>
    <t>VCCO_DDR_502</t>
  </si>
  <si>
    <t>D2</t>
  </si>
  <si>
    <t>E5</t>
  </si>
  <si>
    <t>G1</t>
  </si>
  <si>
    <t>H4</t>
  </si>
  <si>
    <t>L3</t>
  </si>
  <si>
    <t>P2</t>
  </si>
  <si>
    <t>R5</t>
  </si>
  <si>
    <t>U1</t>
  </si>
  <si>
    <t>V4</t>
  </si>
  <si>
    <t>G8</t>
  </si>
  <si>
    <t>VCCPLL</t>
  </si>
  <si>
    <t>G9</t>
  </si>
  <si>
    <t>VCCPAUX</t>
  </si>
  <si>
    <t>F8</t>
  </si>
  <si>
    <t>H8</t>
  </si>
  <si>
    <t>K8</t>
  </si>
  <si>
    <t>M8</t>
  </si>
  <si>
    <t>G7</t>
  </si>
  <si>
    <t>VCCPINT</t>
  </si>
  <si>
    <t>J7</t>
  </si>
  <si>
    <t>L7</t>
  </si>
  <si>
    <t>N7</t>
  </si>
  <si>
    <t>P8</t>
  </si>
  <si>
    <t>R7</t>
  </si>
  <si>
    <t>B6</t>
  </si>
  <si>
    <t>VCCO_MIO0_500</t>
  </si>
  <si>
    <t>D7</t>
  </si>
  <si>
    <t>A13</t>
  </si>
  <si>
    <t>VCCO_MIO1_501</t>
  </si>
  <si>
    <t>B16</t>
  </si>
  <si>
    <t>D12</t>
  </si>
  <si>
    <t>E15</t>
  </si>
  <si>
    <t>H6</t>
  </si>
  <si>
    <t>PS_DDR_VREF0_502</t>
  </si>
  <si>
    <t>P6</t>
  </si>
  <si>
    <t>PS_DDR_VREF1_502</t>
  </si>
  <si>
    <t xml:space="preserve">        (name "EN" (effects (font (size 1.27 1.27))))</t>
  </si>
  <si>
    <t xml:space="preserve">        (number "2" (effects (font (size 1.27 1.27))))</t>
  </si>
  <si>
    <t xml:space="preserve">      (pin unspecified line (at 0 Y_location 0) (length 7.62)</t>
  </si>
  <si>
    <t>Row Labels</t>
  </si>
  <si>
    <t>Grand Total</t>
  </si>
  <si>
    <t>Count of Pin Name</t>
  </si>
  <si>
    <t>Power and GND and NC pins</t>
  </si>
  <si>
    <t>U200E</t>
  </si>
  <si>
    <t>Phils Schematics</t>
  </si>
  <si>
    <t>U200C, 14 used, 7 are Power and GND connections</t>
  </si>
  <si>
    <t>VCC</t>
  </si>
  <si>
    <t>IO L0-34</t>
  </si>
  <si>
    <t>C</t>
  </si>
  <si>
    <t>B</t>
  </si>
  <si>
    <t>A</t>
  </si>
  <si>
    <t>D</t>
  </si>
  <si>
    <t>E</t>
  </si>
  <si>
    <t>F</t>
  </si>
  <si>
    <t>G</t>
  </si>
  <si>
    <t>Buck</t>
  </si>
  <si>
    <t>+1V8</t>
  </si>
  <si>
    <t>+1V35</t>
  </si>
  <si>
    <t>SIG</t>
  </si>
  <si>
    <t>PWR</t>
  </si>
  <si>
    <t>3 Layers to route SoC (per UG993 recommendation)</t>
  </si>
  <si>
    <t>2 Extra layers to distribute power/non-critical signals</t>
  </si>
  <si>
    <t>Fcu</t>
  </si>
  <si>
    <t>Bcu</t>
  </si>
  <si>
    <t>High level stackup requirement</t>
  </si>
  <si>
    <t>Thru</t>
  </si>
  <si>
    <t>Via1</t>
  </si>
  <si>
    <t>Via2</t>
  </si>
  <si>
    <t>Reference</t>
  </si>
  <si>
    <t>Vendor PCB Way</t>
  </si>
  <si>
    <t>vendor site</t>
  </si>
  <si>
    <t>W</t>
  </si>
  <si>
    <t>PP</t>
  </si>
  <si>
    <t>mm</t>
  </si>
  <si>
    <t>Zo (microstrip)</t>
  </si>
  <si>
    <t>Dk</t>
  </si>
  <si>
    <t>Zo nom</t>
  </si>
  <si>
    <t>Zo min</t>
  </si>
  <si>
    <t>Zo max</t>
  </si>
  <si>
    <t>P/F</t>
  </si>
  <si>
    <t>Impedance Calculator</t>
  </si>
  <si>
    <t>Zo (asym stripline)</t>
  </si>
  <si>
    <t>Stubs per below</t>
  </si>
  <si>
    <t>Need?</t>
  </si>
  <si>
    <t>DDR3L SDRAM</t>
  </si>
  <si>
    <t>1.35V</t>
  </si>
  <si>
    <t>Data Rate (MT/s)</t>
  </si>
  <si>
    <t>Row Column Delay</t>
  </si>
  <si>
    <t>Row Precharge</t>
  </si>
  <si>
    <t>Column Load</t>
  </si>
  <si>
    <t>13.91 ns</t>
  </si>
  <si>
    <t>Signal integrity</t>
  </si>
  <si>
    <t>Input</t>
  </si>
  <si>
    <t>0.1 V/ns</t>
  </si>
  <si>
    <t>Slew rate Single Ended</t>
  </si>
  <si>
    <t>Slew rate Differential</t>
  </si>
  <si>
    <t>Output</t>
  </si>
  <si>
    <t>Leakage current</t>
  </si>
  <si>
    <t>5uA</t>
  </si>
  <si>
    <t>5 V/ns</t>
  </si>
  <si>
    <t>Overshoot/Undershoot (above VDD or below VSS)</t>
  </si>
  <si>
    <t>Capacitance</t>
  </si>
  <si>
    <t>2 pF</t>
  </si>
  <si>
    <t>-135 mV</t>
  </si>
  <si>
    <t>135 mV</t>
  </si>
  <si>
    <t>Vih(ac)</t>
  </si>
  <si>
    <t>Vil(ac)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</si>
</sst>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rgb="FF000000"/>
      <name val="Arial Unicode MS"/>
    </font>
    <font>
      <b/>
      <sz val="11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1B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6" borderId="3" applyNumberFormat="0" applyAlignment="0" applyProtection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quotePrefix="1"/>
    <xf numFmtId="0" fontId="1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vertical="center"/>
    </xf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0" borderId="2" xfId="0" applyBorder="1"/>
    <xf numFmtId="0" fontId="0" fillId="5" borderId="4" xfId="0" applyFill="1" applyBorder="1"/>
    <xf numFmtId="0" fontId="3" fillId="0" borderId="0" xfId="2"/>
    <xf numFmtId="0" fontId="0" fillId="7" borderId="1" xfId="0" applyFill="1" applyBorder="1"/>
    <xf numFmtId="0" fontId="0" fillId="9" borderId="1" xfId="0" applyFill="1" applyBorder="1"/>
    <xf numFmtId="0" fontId="0" fillId="8" borderId="1" xfId="0" applyFill="1" applyBorder="1"/>
    <xf numFmtId="0" fontId="0" fillId="11" borderId="1" xfId="0" applyFill="1" applyBorder="1"/>
    <xf numFmtId="0" fontId="2" fillId="6" borderId="1" xfId="1" applyBorder="1"/>
    <xf numFmtId="0" fontId="0" fillId="10" borderId="1" xfId="0" applyFill="1" applyBorder="1"/>
    <xf numFmtId="0" fontId="0" fillId="5" borderId="1" xfId="0" applyFill="1" applyBorder="1"/>
    <xf numFmtId="0" fontId="0" fillId="5" borderId="2" xfId="0" applyFill="1" applyBorder="1"/>
    <xf numFmtId="0" fontId="0" fillId="0" borderId="1" xfId="0" applyFill="1" applyBorder="1"/>
  </cellXfs>
  <cellStyles count="3">
    <cellStyle name="Calculation" xfId="1" builtinId="22"/>
    <cellStyle name="Hyperlink" xfId="2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33619</xdr:colOff>
      <xdr:row>6</xdr:row>
      <xdr:rowOff>153147</xdr:rowOff>
    </xdr:from>
    <xdr:to>
      <xdr:col>2</xdr:col>
      <xdr:colOff>2162007</xdr:colOff>
      <xdr:row>48</xdr:row>
      <xdr:rowOff>32072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066392-8FDF-D2A2-0091-A4D5C91A2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148" y="3888441"/>
          <a:ext cx="2867977" cy="7723043"/>
        </a:xfrm>
        <a:prstGeom prst="rect">
          <a:avLst/>
        </a:prstGeom>
      </xdr:spPr>
    </xdr:pic>
    <xdr:clientData/>
  </xdr:twoCellAnchor>
  <xdr:twoCellAnchor editAs="oneCell">
    <xdr:from>
      <xdr:col>21</xdr:col>
      <xdr:colOff>70971</xdr:colOff>
      <xdr:row>5</xdr:row>
      <xdr:rowOff>37352</xdr:rowOff>
    </xdr:from>
    <xdr:to>
      <xdr:col>29</xdr:col>
      <xdr:colOff>574302</xdr:colOff>
      <xdr:row>27</xdr:row>
      <xdr:rowOff>56990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595FB6-FED4-7439-045A-A030A2997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63589" y="989852"/>
          <a:ext cx="5344272" cy="421063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 Hernandez Meza" refreshedDate="45892.647568055552" createdVersion="8" refreshedVersion="8" minRefreshableVersion="3" recordCount="400" xr:uid="{F8C0D786-CEDE-4652-AE2C-338760502D3D}">
  <cacheSource type="worksheet">
    <worksheetSource ref="A1:E401" sheet="zynq pinout"/>
  </cacheSource>
  <cacheFields count="5">
    <cacheField name="Pin" numFmtId="0">
      <sharedItems/>
    </cacheField>
    <cacheField name="Pin Name" numFmtId="0">
      <sharedItems count="269">
        <s v="DONE_0"/>
        <s v="DXP_0"/>
        <s v="GNDADC_0"/>
        <s v="VCCADC_0"/>
        <s v="VREFP_0"/>
        <s v="VN_0"/>
        <s v="VCCBATT_0"/>
        <s v="TCK_0"/>
        <s v="DXN_0"/>
        <s v="VREFN_0"/>
        <s v="VP_0"/>
        <s v="RSVDGND"/>
        <s v="RSVDVCC3"/>
        <s v="RSVDVCC2"/>
        <s v="INIT_B_0"/>
        <s v="TDI_0"/>
        <s v="TDO_0"/>
        <s v="RSVDVCC1"/>
        <s v="CFGBVS_0"/>
        <s v="PROGRAM_B_0"/>
        <s v="TMS_0"/>
        <s v="NC"/>
        <s v="IO_0_34"/>
        <s v="IO_L1P_T0_34"/>
        <s v="IO_L1N_T0_34"/>
        <s v="IO_L2P_T0_34"/>
        <s v="IO_L2N_T0_34"/>
        <s v="IO_L3P_T0_DQS_PUDC_B_34"/>
        <s v="IO_L3N_T0_DQS_34"/>
        <s v="IO_L4P_T0_34"/>
        <s v="IO_L4N_T0_34"/>
        <s v="IO_L5P_T0_34"/>
        <s v="IO_L5N_T0_34"/>
        <s v="IO_L6P_T0_34"/>
        <s v="IO_L6N_T0_VREF_34"/>
        <s v="IO_L7P_T1_34"/>
        <s v="IO_L7N_T1_34"/>
        <s v="IO_L8P_T1_34"/>
        <s v="IO_L8N_T1_34"/>
        <s v="IO_L9P_T1_DQS_34"/>
        <s v="IO_L9N_T1_DQS_34"/>
        <s v="IO_L10P_T1_34"/>
        <s v="IO_L10N_T1_34"/>
        <s v="IO_L11P_T1_SRCC_34"/>
        <s v="IO_L11N_T1_SRCC_34"/>
        <s v="IO_L12P_T1_MRCC_34"/>
        <s v="IO_L12N_T1_MRCC_34"/>
        <s v="IO_L13P_T2_MRCC_34"/>
        <s v="IO_L13N_T2_MRCC_34"/>
        <s v="IO_L14P_T2_SRCC_34"/>
        <s v="IO_L14N_T2_SRCC_34"/>
        <s v="IO_L15P_T2_DQS_34"/>
        <s v="IO_L15N_T2_DQS_34"/>
        <s v="IO_L16P_T2_34"/>
        <s v="IO_L16N_T2_34"/>
        <s v="IO_L17P_T2_34"/>
        <s v="IO_L17N_T2_34"/>
        <s v="IO_L18P_T2_34"/>
        <s v="IO_L18N_T2_34"/>
        <s v="IO_L19P_T3_34"/>
        <s v="IO_L19N_T3_VREF_34"/>
        <s v="IO_L20P_T3_34"/>
        <s v="IO_L20N_T3_34"/>
        <s v="IO_L21P_T3_DQS_34"/>
        <s v="IO_L21N_T3_DQS_34"/>
        <s v="IO_L22P_T3_34"/>
        <s v="IO_L22N_T3_34"/>
        <s v="IO_L23P_T3_34"/>
        <s v="IO_L23N_T3_34"/>
        <s v="IO_L24P_T3_34"/>
        <s v="IO_L24N_T3_34"/>
        <s v="IO_25_34"/>
        <s v="IO_0_35"/>
        <s v="IO_L1P_T0_AD0P_35"/>
        <s v="IO_L1N_T0_AD0N_35"/>
        <s v="IO_L2P_T0_AD8P_35"/>
        <s v="IO_L2N_T0_AD8N_35"/>
        <s v="IO_L3P_T0_DQS_AD1P_35"/>
        <s v="IO_L3N_T0_DQS_AD1N_35"/>
        <s v="IO_L4P_T0_35"/>
        <s v="IO_L4N_T0_35"/>
        <s v="IO_L5P_T0_AD9P_35"/>
        <s v="IO_L5N_T0_AD9N_35"/>
        <s v="IO_L6P_T0_35"/>
        <s v="IO_L6N_T0_VREF_35"/>
        <s v="IO_L7P_T1_AD2P_35"/>
        <s v="IO_L7N_T1_AD2N_35"/>
        <s v="IO_L8P_T1_AD10P_35"/>
        <s v="IO_L8N_T1_AD10N_35"/>
        <s v="IO_L9P_T1_DQS_AD3P_35"/>
        <s v="IO_L9N_T1_DQS_AD3N_35"/>
        <s v="IO_L10P_T1_AD11P_35"/>
        <s v="IO_L10N_T1_AD11N_35"/>
        <s v="IO_L11P_T1_SRCC_35"/>
        <s v="IO_L11N_T1_SRCC_35"/>
        <s v="IO_L12P_T1_MRCC_35"/>
        <s v="IO_L12N_T1_MRCC_35"/>
        <s v="IO_L13P_T2_MRCC_35"/>
        <s v="IO_L13N_T2_MRCC_35"/>
        <s v="IO_L14P_T2_AD4P_SRCC_35"/>
        <s v="IO_L14N_T2_AD4N_SRCC_35"/>
        <s v="IO_L15P_T2_DQS_AD12P_35"/>
        <s v="IO_L15N_T2_DQS_AD12N_35"/>
        <s v="IO_L16P_T2_35"/>
        <s v="IO_L16N_T2_35"/>
        <s v="IO_L17P_T2_AD5P_35"/>
        <s v="IO_L17N_T2_AD5N_35"/>
        <s v="IO_L18P_T2_AD13P_35"/>
        <s v="IO_L18N_T2_AD13N_35"/>
        <s v="IO_L19P_T3_35"/>
        <s v="IO_L19N_T3_VREF_35"/>
        <s v="IO_L20P_T3_AD6P_35"/>
        <s v="IO_L20N_T3_AD6N_35"/>
        <s v="IO_L21P_T3_DQS_AD14P_35"/>
        <s v="IO_L21N_T3_DQS_AD14N_35"/>
        <s v="IO_L22P_T3_AD7P_35"/>
        <s v="IO_L22N_T3_AD7N_35"/>
        <s v="IO_L23P_T3_35"/>
        <s v="IO_L23N_T3_35"/>
        <s v="IO_L24P_T3_AD15P_35"/>
        <s v="IO_L24N_T3_AD15N_35"/>
        <s v="IO_25_35"/>
        <s v="PS_CLK_500"/>
        <s v="PS_MIO_VREF_501"/>
        <s v="PS_POR_B_500"/>
        <s v="PS_MIO15_500"/>
        <s v="PS_MIO17_501"/>
        <s v="PS_MIO19_501"/>
        <s v="PS_MIO21_501"/>
        <s v="PS_MIO23_501"/>
        <s v="PS_MIO25_501"/>
        <s v="PS_MIO27_501"/>
        <s v="PS_MIO29_501"/>
        <s v="PS_MIO31_501"/>
        <s v="PS_MIO33_501"/>
        <s v="PS_MIO35_501"/>
        <s v="PS_MIO38_501"/>
        <s v="PS_MIO40_501"/>
        <s v="PS_MIO42_501"/>
        <s v="PS_MIO44_501"/>
        <s v="PS_MIO46_501"/>
        <s v="PS_MIO48_501"/>
        <s v="PS_MIO50_501"/>
        <s v="PS_MIO52_501"/>
        <s v="PS_SRST_B_501"/>
        <s v="PS_MIO14_500"/>
        <s v="PS_MIO16_501"/>
        <s v="PS_MIO18_501"/>
        <s v="PS_MIO20_501"/>
        <s v="PS_MIO22_501"/>
        <s v="PS_MIO24_501"/>
        <s v="PS_MIO26_501"/>
        <s v="PS_MIO28_501"/>
        <s v="PS_MIO30_501"/>
        <s v="PS_MIO32_501"/>
        <s v="PS_MIO34_501"/>
        <s v="PS_MIO36_501"/>
        <s v="PS_MIO37_501"/>
        <s v="PS_MIO39_501"/>
        <s v="PS_MIO41_501"/>
        <s v="PS_MIO43_501"/>
        <s v="PS_MIO45_501"/>
        <s v="PS_MIO47_501"/>
        <s v="PS_MIO49_501"/>
        <s v="PS_MIO51_501"/>
        <s v="PS_MIO53_501"/>
        <s v="PS_MIO13_500"/>
        <s v="PS_MIO12_500"/>
        <s v="PS_MIO11_500"/>
        <s v="PS_MIO10_500"/>
        <s v="PS_MIO9_500"/>
        <s v="PS_MIO8_500"/>
        <s v="PS_MIO7_500"/>
        <s v="PS_MIO6_500"/>
        <s v="PS_MIO5_500"/>
        <s v="PS_MIO4_500"/>
        <s v="PS_MIO3_500"/>
        <s v="PS_MIO2_500"/>
        <s v="PS_MIO1_500"/>
        <s v="PS_MIO0_500"/>
        <s v="PS_DDR_DRST_B_502"/>
        <s v="PS_DDR_DQ0_502"/>
        <s v="PS_DDR_DQ1_502"/>
        <s v="PS_DDR_DQ2_502"/>
        <s v="PS_DDR_DQ3_502"/>
        <s v="PS_DDR_DM0_502"/>
        <s v="PS_DDR_DQS_P0_502"/>
        <s v="PS_DDR_DQS_N0_502"/>
        <s v="PS_DDR_DQ4_502"/>
        <s v="PS_DDR_DQ5_502"/>
        <s v="PS_DDR_DQ6_502"/>
        <s v="PS_DDR_DQ7_502"/>
        <s v="PS_DDR_DQ8_502"/>
        <s v="PS_DDR_DQ9_502"/>
        <s v="PS_DDR_DQ10_502"/>
        <s v="PS_DDR_DQ11_502"/>
        <s v="PS_DDR_DM1_502"/>
        <s v="PS_DDR_DQS_P1_502"/>
        <s v="PS_DDR_DQS_N1_502"/>
        <s v="PS_DDR_DQ12_502"/>
        <s v="PS_DDR_DQ13_502"/>
        <s v="PS_DDR_DQ14_502"/>
        <s v="PS_DDR_DQ15_502"/>
        <s v="PS_DDR_A14_502"/>
        <s v="PS_DDR_A13_502"/>
        <s v="PS_DDR_A12_502"/>
        <s v="PS_DDR_A11_502"/>
        <s v="PS_DDR_A10_502"/>
        <s v="PS_DDR_A9_502"/>
        <s v="PS_DDR_A8_502"/>
        <s v="PS_DDR_A7_502"/>
        <s v="PS_DDR_A6_502"/>
        <s v="PS_DDR_A5_502"/>
        <s v="PS_DDR_A4_502"/>
        <s v="PS_DDR_A3_502"/>
        <s v="PS_DDR_VRN_502"/>
        <s v="PS_DDR_VRP_502"/>
        <s v="PS_DDR_CKP_502"/>
        <s v="PS_DDR_CKN_502"/>
        <s v="PS_DDR_A2_502"/>
        <s v="PS_DDR_A1_502"/>
        <s v="PS_DDR_A0_502"/>
        <s v="PS_DDR_BA2_502"/>
        <s v="PS_DDR_BA1_502"/>
        <s v="PS_DDR_BA0_502"/>
        <s v="PS_DDR_ODT_502"/>
        <s v="PS_DDR_CS_B_502"/>
        <s v="PS_DDR_CKE_502"/>
        <s v="PS_DDR_WE_B_502"/>
        <s v="PS_DDR_CAS_B_502"/>
        <s v="PS_DDR_RAS_B_502"/>
        <s v="PS_DDR_DQ16_502"/>
        <s v="PS_DDR_DQ17_502"/>
        <s v="PS_DDR_DQ18_502"/>
        <s v="PS_DDR_DQ19_502"/>
        <s v="PS_DDR_DM2_502"/>
        <s v="PS_DDR_DQS_P2_502"/>
        <s v="PS_DDR_DQS_N2_502"/>
        <s v="PS_DDR_DQ20_502"/>
        <s v="PS_DDR_DQ21_502"/>
        <s v="PS_DDR_DQ22_502"/>
        <s v="PS_DDR_DQ23_502"/>
        <s v="PS_DDR_DQ24_502"/>
        <s v="PS_DDR_DQ25_502"/>
        <s v="PS_DDR_DQ26_502"/>
        <s v="PS_DDR_DQ27_502"/>
        <s v="PS_DDR_DM3_502"/>
        <s v="PS_DDR_DQ30_502"/>
        <s v="PS_DDR_DQ28_502"/>
        <s v="PS_DDR_DQS_N3_502"/>
        <s v="PS_DDR_DQ31_502"/>
        <s v="PS_DDR_DQ29_502"/>
        <s v="PS_DDR_DQS_P3_502"/>
        <s v="GND"/>
        <s v="VCCINT"/>
        <s v="VCCAUX"/>
        <s v="VCCO_0"/>
        <s v="VCCO_13"/>
        <s v="VCCO_34"/>
        <s v="VCCO_35"/>
        <s v="VCCBRAM"/>
        <s v="VCCO_DDR_502"/>
        <s v="VCCPLL"/>
        <s v="VCCPAUX"/>
        <s v="VCCPINT"/>
        <s v="VCCO_MIO0_500"/>
        <s v="VCCO_MIO1_501"/>
        <s v="PS_DDR_VREF0_502"/>
        <s v="PS_DDR_VREF1_502"/>
      </sharedItems>
    </cacheField>
    <cacheField name="Memory Byte Group" numFmtId="0">
      <sharedItems containsMixedTypes="1" containsNumber="1" containsInteger="1" minValue="0" maxValue="3"/>
    </cacheField>
    <cacheField name="Bank" numFmtId="0">
      <sharedItems containsMixedTypes="1" containsNumber="1" containsInteger="1" minValue="0" maxValue="502"/>
    </cacheField>
    <cacheField name="I/O Type" numFmtId="0">
      <sharedItems count="5">
        <s v="CONFIG"/>
        <s v="NA"/>
        <s v="HR"/>
        <s v="MIO"/>
        <s v="DD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s v="R11"/>
    <x v="0"/>
    <s v="NA"/>
    <n v="0"/>
    <x v="0"/>
  </r>
  <r>
    <s v="M9"/>
    <x v="1"/>
    <s v="NA"/>
    <n v="0"/>
    <x v="0"/>
  </r>
  <r>
    <s v="J10"/>
    <x v="2"/>
    <s v="NA"/>
    <n v="0"/>
    <x v="0"/>
  </r>
  <r>
    <s v="J9"/>
    <x v="3"/>
    <s v="NA"/>
    <n v="0"/>
    <x v="0"/>
  </r>
  <r>
    <s v="L9"/>
    <x v="4"/>
    <s v="NA"/>
    <n v="0"/>
    <x v="0"/>
  </r>
  <r>
    <s v="L10"/>
    <x v="5"/>
    <s v="NA"/>
    <n v="0"/>
    <x v="0"/>
  </r>
  <r>
    <s v="F11"/>
    <x v="6"/>
    <s v="NA"/>
    <n v="0"/>
    <x v="0"/>
  </r>
  <r>
    <s v="F9"/>
    <x v="7"/>
    <s v="NA"/>
    <n v="0"/>
    <x v="0"/>
  </r>
  <r>
    <s v="M10"/>
    <x v="8"/>
    <s v="NA"/>
    <n v="0"/>
    <x v="0"/>
  </r>
  <r>
    <s v="K10"/>
    <x v="9"/>
    <s v="NA"/>
    <n v="0"/>
    <x v="0"/>
  </r>
  <r>
    <s v="K9"/>
    <x v="10"/>
    <s v="NA"/>
    <n v="0"/>
    <x v="0"/>
  </r>
  <r>
    <s v="F10"/>
    <x v="11"/>
    <s v="NA"/>
    <n v="0"/>
    <x v="0"/>
  </r>
  <r>
    <s v="N6"/>
    <x v="12"/>
    <s v="NA"/>
    <n v="0"/>
    <x v="0"/>
  </r>
  <r>
    <s v="R6"/>
    <x v="13"/>
    <s v="NA"/>
    <n v="0"/>
    <x v="0"/>
  </r>
  <r>
    <s v="R10"/>
    <x v="14"/>
    <s v="NA"/>
    <n v="0"/>
    <x v="0"/>
  </r>
  <r>
    <s v="G6"/>
    <x v="15"/>
    <s v="NA"/>
    <n v="0"/>
    <x v="0"/>
  </r>
  <r>
    <s v="F6"/>
    <x v="16"/>
    <s v="NA"/>
    <n v="0"/>
    <x v="0"/>
  </r>
  <r>
    <s v="T6"/>
    <x v="17"/>
    <s v="NA"/>
    <n v="0"/>
    <x v="0"/>
  </r>
  <r>
    <s v="M6"/>
    <x v="18"/>
    <s v="NA"/>
    <n v="0"/>
    <x v="0"/>
  </r>
  <r>
    <s v="L6"/>
    <x v="19"/>
    <s v="NA"/>
    <n v="0"/>
    <x v="0"/>
  </r>
  <r>
    <s v="J6"/>
    <x v="20"/>
    <s v="NA"/>
    <n v="0"/>
    <x v="0"/>
  </r>
  <r>
    <s v="V5"/>
    <x v="21"/>
    <s v="NA"/>
    <s v="NOPAD/UNCONNECTED"/>
    <x v="1"/>
  </r>
  <r>
    <s v="U7"/>
    <x v="21"/>
    <s v="NA"/>
    <s v="NOPAD/UNCONNECTED"/>
    <x v="1"/>
  </r>
  <r>
    <s v="V7"/>
    <x v="21"/>
    <s v="NA"/>
    <s v="NOPAD/UNCONNECTED"/>
    <x v="1"/>
  </r>
  <r>
    <s v="T9"/>
    <x v="21"/>
    <s v="NA"/>
    <s v="NOPAD/UNCONNECTED"/>
    <x v="1"/>
  </r>
  <r>
    <s v="U10"/>
    <x v="21"/>
    <s v="NA"/>
    <s v="NOPAD/UNCONNECTED"/>
    <x v="1"/>
  </r>
  <r>
    <s v="Y7"/>
    <x v="21"/>
    <s v="NA"/>
    <s v="NOPAD/UNCONNECTED"/>
    <x v="1"/>
  </r>
  <r>
    <s v="Y6"/>
    <x v="21"/>
    <s v="NA"/>
    <s v="NOPAD/UNCONNECTED"/>
    <x v="1"/>
  </r>
  <r>
    <s v="Y9"/>
    <x v="21"/>
    <s v="NA"/>
    <s v="NOPAD/UNCONNECTED"/>
    <x v="1"/>
  </r>
  <r>
    <s v="Y8"/>
    <x v="21"/>
    <s v="NA"/>
    <s v="NOPAD/UNCONNECTED"/>
    <x v="1"/>
  </r>
  <r>
    <s v="V8"/>
    <x v="21"/>
    <s v="NA"/>
    <s v="NOPAD/UNCONNECTED"/>
    <x v="1"/>
  </r>
  <r>
    <s v="W8"/>
    <x v="21"/>
    <s v="NA"/>
    <s v="NOPAD/UNCONNECTED"/>
    <x v="1"/>
  </r>
  <r>
    <s v="W10"/>
    <x v="21"/>
    <s v="NA"/>
    <s v="NOPAD/UNCONNECTED"/>
    <x v="1"/>
  </r>
  <r>
    <s v="W9"/>
    <x v="21"/>
    <s v="NA"/>
    <s v="NOPAD/UNCONNECTED"/>
    <x v="1"/>
  </r>
  <r>
    <s v="U9"/>
    <x v="21"/>
    <s v="NA"/>
    <s v="NOPAD/UNCONNECTED"/>
    <x v="1"/>
  </r>
  <r>
    <s v="U8"/>
    <x v="21"/>
    <s v="NA"/>
    <s v="NOPAD/UNCONNECTED"/>
    <x v="1"/>
  </r>
  <r>
    <s v="W11"/>
    <x v="21"/>
    <s v="NA"/>
    <s v="NOPAD/UNCONNECTED"/>
    <x v="1"/>
  </r>
  <r>
    <s v="Y11"/>
    <x v="21"/>
    <s v="NA"/>
    <s v="NOPAD/UNCONNECTED"/>
    <x v="1"/>
  </r>
  <r>
    <s v="T5"/>
    <x v="21"/>
    <s v="NA"/>
    <s v="NOPAD/UNCONNECTED"/>
    <x v="1"/>
  </r>
  <r>
    <s v="U5"/>
    <x v="21"/>
    <s v="NA"/>
    <s v="NOPAD/UNCONNECTED"/>
    <x v="1"/>
  </r>
  <r>
    <s v="Y12"/>
    <x v="21"/>
    <s v="NA"/>
    <s v="NOPAD/UNCONNECTED"/>
    <x v="1"/>
  </r>
  <r>
    <s v="Y13"/>
    <x v="21"/>
    <s v="NA"/>
    <s v="NOPAD/UNCONNECTED"/>
    <x v="1"/>
  </r>
  <r>
    <s v="V11"/>
    <x v="21"/>
    <s v="NA"/>
    <s v="NOPAD/UNCONNECTED"/>
    <x v="1"/>
  </r>
  <r>
    <s v="V10"/>
    <x v="21"/>
    <s v="NA"/>
    <s v="NOPAD/UNCONNECTED"/>
    <x v="1"/>
  </r>
  <r>
    <s v="V6"/>
    <x v="21"/>
    <s v="NA"/>
    <s v="NOPAD/UNCONNECTED"/>
    <x v="1"/>
  </r>
  <r>
    <s v="W6"/>
    <x v="21"/>
    <s v="NA"/>
    <s v="NOPAD/UNCONNECTED"/>
    <x v="1"/>
  </r>
  <r>
    <s v="R19"/>
    <x v="22"/>
    <s v="NA"/>
    <n v="34"/>
    <x v="2"/>
  </r>
  <r>
    <s v="T11"/>
    <x v="23"/>
    <n v="0"/>
    <n v="34"/>
    <x v="2"/>
  </r>
  <r>
    <s v="T10"/>
    <x v="24"/>
    <n v="0"/>
    <n v="34"/>
    <x v="2"/>
  </r>
  <r>
    <s v="T12"/>
    <x v="25"/>
    <n v="0"/>
    <n v="34"/>
    <x v="2"/>
  </r>
  <r>
    <s v="U12"/>
    <x v="26"/>
    <n v="0"/>
    <n v="34"/>
    <x v="2"/>
  </r>
  <r>
    <s v="U13"/>
    <x v="27"/>
    <n v="0"/>
    <n v="34"/>
    <x v="2"/>
  </r>
  <r>
    <s v="V13"/>
    <x v="28"/>
    <n v="0"/>
    <n v="34"/>
    <x v="2"/>
  </r>
  <r>
    <s v="V12"/>
    <x v="29"/>
    <n v="0"/>
    <n v="34"/>
    <x v="2"/>
  </r>
  <r>
    <s v="W13"/>
    <x v="30"/>
    <n v="0"/>
    <n v="34"/>
    <x v="2"/>
  </r>
  <r>
    <s v="T14"/>
    <x v="31"/>
    <n v="0"/>
    <n v="34"/>
    <x v="2"/>
  </r>
  <r>
    <s v="T15"/>
    <x v="32"/>
    <n v="0"/>
    <n v="34"/>
    <x v="2"/>
  </r>
  <r>
    <s v="P14"/>
    <x v="33"/>
    <n v="0"/>
    <n v="34"/>
    <x v="2"/>
  </r>
  <r>
    <s v="R14"/>
    <x v="34"/>
    <n v="0"/>
    <n v="34"/>
    <x v="2"/>
  </r>
  <r>
    <s v="Y16"/>
    <x v="35"/>
    <n v="1"/>
    <n v="34"/>
    <x v="2"/>
  </r>
  <r>
    <s v="Y17"/>
    <x v="36"/>
    <n v="1"/>
    <n v="34"/>
    <x v="2"/>
  </r>
  <r>
    <s v="W14"/>
    <x v="37"/>
    <n v="1"/>
    <n v="34"/>
    <x v="2"/>
  </r>
  <r>
    <s v="Y14"/>
    <x v="38"/>
    <n v="1"/>
    <n v="34"/>
    <x v="2"/>
  </r>
  <r>
    <s v="T16"/>
    <x v="39"/>
    <n v="1"/>
    <n v="34"/>
    <x v="2"/>
  </r>
  <r>
    <s v="U17"/>
    <x v="40"/>
    <n v="1"/>
    <n v="34"/>
    <x v="2"/>
  </r>
  <r>
    <s v="V15"/>
    <x v="41"/>
    <n v="1"/>
    <n v="34"/>
    <x v="2"/>
  </r>
  <r>
    <s v="W15"/>
    <x v="42"/>
    <n v="1"/>
    <n v="34"/>
    <x v="2"/>
  </r>
  <r>
    <s v="U14"/>
    <x v="43"/>
    <n v="1"/>
    <n v="34"/>
    <x v="2"/>
  </r>
  <r>
    <s v="U15"/>
    <x v="44"/>
    <n v="1"/>
    <n v="34"/>
    <x v="2"/>
  </r>
  <r>
    <s v="U18"/>
    <x v="45"/>
    <n v="1"/>
    <n v="34"/>
    <x v="2"/>
  </r>
  <r>
    <s v="U19"/>
    <x v="46"/>
    <n v="1"/>
    <n v="34"/>
    <x v="2"/>
  </r>
  <r>
    <s v="N18"/>
    <x v="47"/>
    <n v="2"/>
    <n v="34"/>
    <x v="2"/>
  </r>
  <r>
    <s v="P19"/>
    <x v="48"/>
    <n v="2"/>
    <n v="34"/>
    <x v="2"/>
  </r>
  <r>
    <s v="N20"/>
    <x v="49"/>
    <n v="2"/>
    <n v="34"/>
    <x v="2"/>
  </r>
  <r>
    <s v="P20"/>
    <x v="50"/>
    <n v="2"/>
    <n v="34"/>
    <x v="2"/>
  </r>
  <r>
    <s v="T20"/>
    <x v="51"/>
    <n v="2"/>
    <n v="34"/>
    <x v="2"/>
  </r>
  <r>
    <s v="U20"/>
    <x v="52"/>
    <n v="2"/>
    <n v="34"/>
    <x v="2"/>
  </r>
  <r>
    <s v="V20"/>
    <x v="53"/>
    <n v="2"/>
    <n v="34"/>
    <x v="2"/>
  </r>
  <r>
    <s v="W20"/>
    <x v="54"/>
    <n v="2"/>
    <n v="34"/>
    <x v="2"/>
  </r>
  <r>
    <s v="Y18"/>
    <x v="55"/>
    <n v="2"/>
    <n v="34"/>
    <x v="2"/>
  </r>
  <r>
    <s v="Y19"/>
    <x v="56"/>
    <n v="2"/>
    <n v="34"/>
    <x v="2"/>
  </r>
  <r>
    <s v="V16"/>
    <x v="57"/>
    <n v="2"/>
    <n v="34"/>
    <x v="2"/>
  </r>
  <r>
    <s v="W16"/>
    <x v="58"/>
    <n v="2"/>
    <n v="34"/>
    <x v="2"/>
  </r>
  <r>
    <s v="R16"/>
    <x v="59"/>
    <n v="3"/>
    <n v="34"/>
    <x v="2"/>
  </r>
  <r>
    <s v="R17"/>
    <x v="60"/>
    <n v="3"/>
    <n v="34"/>
    <x v="2"/>
  </r>
  <r>
    <s v="T17"/>
    <x v="61"/>
    <n v="3"/>
    <n v="34"/>
    <x v="2"/>
  </r>
  <r>
    <s v="R18"/>
    <x v="62"/>
    <n v="3"/>
    <n v="34"/>
    <x v="2"/>
  </r>
  <r>
    <s v="V17"/>
    <x v="63"/>
    <n v="3"/>
    <n v="34"/>
    <x v="2"/>
  </r>
  <r>
    <s v="V18"/>
    <x v="64"/>
    <n v="3"/>
    <n v="34"/>
    <x v="2"/>
  </r>
  <r>
    <s v="W18"/>
    <x v="65"/>
    <n v="3"/>
    <n v="34"/>
    <x v="2"/>
  </r>
  <r>
    <s v="W19"/>
    <x v="66"/>
    <n v="3"/>
    <n v="34"/>
    <x v="2"/>
  </r>
  <r>
    <s v="N17"/>
    <x v="67"/>
    <n v="3"/>
    <n v="34"/>
    <x v="2"/>
  </r>
  <r>
    <s v="P18"/>
    <x v="68"/>
    <n v="3"/>
    <n v="34"/>
    <x v="2"/>
  </r>
  <r>
    <s v="P15"/>
    <x v="69"/>
    <n v="3"/>
    <n v="34"/>
    <x v="2"/>
  </r>
  <r>
    <s v="P16"/>
    <x v="70"/>
    <n v="3"/>
    <n v="34"/>
    <x v="2"/>
  </r>
  <r>
    <s v="T19"/>
    <x v="71"/>
    <s v="NA"/>
    <n v="34"/>
    <x v="2"/>
  </r>
  <r>
    <s v="G14"/>
    <x v="72"/>
    <s v="NA"/>
    <n v="35"/>
    <x v="2"/>
  </r>
  <r>
    <s v="C20"/>
    <x v="73"/>
    <n v="0"/>
    <n v="35"/>
    <x v="2"/>
  </r>
  <r>
    <s v="B20"/>
    <x v="74"/>
    <n v="0"/>
    <n v="35"/>
    <x v="2"/>
  </r>
  <r>
    <s v="B19"/>
    <x v="75"/>
    <n v="0"/>
    <n v="35"/>
    <x v="2"/>
  </r>
  <r>
    <s v="A20"/>
    <x v="76"/>
    <n v="0"/>
    <n v="35"/>
    <x v="2"/>
  </r>
  <r>
    <s v="E17"/>
    <x v="77"/>
    <n v="0"/>
    <n v="35"/>
    <x v="2"/>
  </r>
  <r>
    <s v="D18"/>
    <x v="78"/>
    <n v="0"/>
    <n v="35"/>
    <x v="2"/>
  </r>
  <r>
    <s v="D19"/>
    <x v="79"/>
    <n v="0"/>
    <n v="35"/>
    <x v="2"/>
  </r>
  <r>
    <s v="D20"/>
    <x v="80"/>
    <n v="0"/>
    <n v="35"/>
    <x v="2"/>
  </r>
  <r>
    <s v="E18"/>
    <x v="81"/>
    <n v="0"/>
    <n v="35"/>
    <x v="2"/>
  </r>
  <r>
    <s v="E19"/>
    <x v="82"/>
    <n v="0"/>
    <n v="35"/>
    <x v="2"/>
  </r>
  <r>
    <s v="F16"/>
    <x v="83"/>
    <n v="0"/>
    <n v="35"/>
    <x v="2"/>
  </r>
  <r>
    <s v="F17"/>
    <x v="84"/>
    <n v="0"/>
    <n v="35"/>
    <x v="2"/>
  </r>
  <r>
    <s v="M19"/>
    <x v="85"/>
    <n v="1"/>
    <n v="35"/>
    <x v="2"/>
  </r>
  <r>
    <s v="M20"/>
    <x v="86"/>
    <n v="1"/>
    <n v="35"/>
    <x v="2"/>
  </r>
  <r>
    <s v="M17"/>
    <x v="87"/>
    <n v="1"/>
    <n v="35"/>
    <x v="2"/>
  </r>
  <r>
    <s v="M18"/>
    <x v="88"/>
    <n v="1"/>
    <n v="35"/>
    <x v="2"/>
  </r>
  <r>
    <s v="L19"/>
    <x v="89"/>
    <n v="1"/>
    <n v="35"/>
    <x v="2"/>
  </r>
  <r>
    <s v="L20"/>
    <x v="90"/>
    <n v="1"/>
    <n v="35"/>
    <x v="2"/>
  </r>
  <r>
    <s v="K19"/>
    <x v="91"/>
    <n v="1"/>
    <n v="35"/>
    <x v="2"/>
  </r>
  <r>
    <s v="J19"/>
    <x v="92"/>
    <n v="1"/>
    <n v="35"/>
    <x v="2"/>
  </r>
  <r>
    <s v="L16"/>
    <x v="93"/>
    <n v="1"/>
    <n v="35"/>
    <x v="2"/>
  </r>
  <r>
    <s v="L17"/>
    <x v="94"/>
    <n v="1"/>
    <n v="35"/>
    <x v="2"/>
  </r>
  <r>
    <s v="K17"/>
    <x v="95"/>
    <n v="1"/>
    <n v="35"/>
    <x v="2"/>
  </r>
  <r>
    <s v="K18"/>
    <x v="96"/>
    <n v="1"/>
    <n v="35"/>
    <x v="2"/>
  </r>
  <r>
    <s v="H16"/>
    <x v="97"/>
    <n v="2"/>
    <n v="35"/>
    <x v="2"/>
  </r>
  <r>
    <s v="H17"/>
    <x v="98"/>
    <n v="2"/>
    <n v="35"/>
    <x v="2"/>
  </r>
  <r>
    <s v="J18"/>
    <x v="99"/>
    <n v="2"/>
    <n v="35"/>
    <x v="2"/>
  </r>
  <r>
    <s v="H18"/>
    <x v="100"/>
    <n v="2"/>
    <n v="35"/>
    <x v="2"/>
  </r>
  <r>
    <s v="F19"/>
    <x v="101"/>
    <n v="2"/>
    <n v="35"/>
    <x v="2"/>
  </r>
  <r>
    <s v="F20"/>
    <x v="102"/>
    <n v="2"/>
    <n v="35"/>
    <x v="2"/>
  </r>
  <r>
    <s v="G17"/>
    <x v="103"/>
    <n v="2"/>
    <n v="35"/>
    <x v="2"/>
  </r>
  <r>
    <s v="G18"/>
    <x v="104"/>
    <n v="2"/>
    <n v="35"/>
    <x v="2"/>
  </r>
  <r>
    <s v="J20"/>
    <x v="105"/>
    <n v="2"/>
    <n v="35"/>
    <x v="2"/>
  </r>
  <r>
    <s v="H20"/>
    <x v="106"/>
    <n v="2"/>
    <n v="35"/>
    <x v="2"/>
  </r>
  <r>
    <s v="G19"/>
    <x v="107"/>
    <n v="2"/>
    <n v="35"/>
    <x v="2"/>
  </r>
  <r>
    <s v="G20"/>
    <x v="108"/>
    <n v="2"/>
    <n v="35"/>
    <x v="2"/>
  </r>
  <r>
    <s v="H15"/>
    <x v="109"/>
    <n v="3"/>
    <n v="35"/>
    <x v="2"/>
  </r>
  <r>
    <s v="G15"/>
    <x v="110"/>
    <n v="3"/>
    <n v="35"/>
    <x v="2"/>
  </r>
  <r>
    <s v="K14"/>
    <x v="111"/>
    <n v="3"/>
    <n v="35"/>
    <x v="2"/>
  </r>
  <r>
    <s v="J14"/>
    <x v="112"/>
    <n v="3"/>
    <n v="35"/>
    <x v="2"/>
  </r>
  <r>
    <s v="N15"/>
    <x v="113"/>
    <n v="3"/>
    <n v="35"/>
    <x v="2"/>
  </r>
  <r>
    <s v="N16"/>
    <x v="114"/>
    <n v="3"/>
    <n v="35"/>
    <x v="2"/>
  </r>
  <r>
    <s v="L14"/>
    <x v="115"/>
    <n v="3"/>
    <n v="35"/>
    <x v="2"/>
  </r>
  <r>
    <s v="L15"/>
    <x v="116"/>
    <n v="3"/>
    <n v="35"/>
    <x v="2"/>
  </r>
  <r>
    <s v="M14"/>
    <x v="117"/>
    <n v="3"/>
    <n v="35"/>
    <x v="2"/>
  </r>
  <r>
    <s v="M15"/>
    <x v="118"/>
    <n v="3"/>
    <n v="35"/>
    <x v="2"/>
  </r>
  <r>
    <s v="K16"/>
    <x v="119"/>
    <n v="3"/>
    <n v="35"/>
    <x v="2"/>
  </r>
  <r>
    <s v="J16"/>
    <x v="120"/>
    <n v="3"/>
    <n v="35"/>
    <x v="2"/>
  </r>
  <r>
    <s v="J15"/>
    <x v="121"/>
    <s v="NA"/>
    <n v="35"/>
    <x v="2"/>
  </r>
  <r>
    <s v="E7"/>
    <x v="122"/>
    <s v="NA"/>
    <n v="500"/>
    <x v="3"/>
  </r>
  <r>
    <s v="E11"/>
    <x v="123"/>
    <s v="NA"/>
    <n v="501"/>
    <x v="3"/>
  </r>
  <r>
    <s v="C7"/>
    <x v="124"/>
    <s v="NA"/>
    <n v="500"/>
    <x v="3"/>
  </r>
  <r>
    <s v="C8"/>
    <x v="125"/>
    <s v="NA"/>
    <n v="500"/>
    <x v="3"/>
  </r>
  <r>
    <s v="E14"/>
    <x v="126"/>
    <s v="NA"/>
    <n v="501"/>
    <x v="3"/>
  </r>
  <r>
    <s v="D10"/>
    <x v="127"/>
    <s v="NA"/>
    <n v="501"/>
    <x v="3"/>
  </r>
  <r>
    <s v="F14"/>
    <x v="128"/>
    <s v="NA"/>
    <n v="501"/>
    <x v="3"/>
  </r>
  <r>
    <s v="D11"/>
    <x v="129"/>
    <s v="NA"/>
    <n v="501"/>
    <x v="3"/>
  </r>
  <r>
    <s v="F15"/>
    <x v="130"/>
    <s v="NA"/>
    <n v="501"/>
    <x v="3"/>
  </r>
  <r>
    <s v="D13"/>
    <x v="131"/>
    <s v="NA"/>
    <n v="501"/>
    <x v="3"/>
  </r>
  <r>
    <s v="C13"/>
    <x v="132"/>
    <s v="NA"/>
    <n v="501"/>
    <x v="3"/>
  </r>
  <r>
    <s v="E16"/>
    <x v="133"/>
    <s v="NA"/>
    <n v="501"/>
    <x v="3"/>
  </r>
  <r>
    <s v="D15"/>
    <x v="134"/>
    <s v="NA"/>
    <n v="501"/>
    <x v="3"/>
  </r>
  <r>
    <s v="F12"/>
    <x v="135"/>
    <s v="NA"/>
    <n v="501"/>
    <x v="3"/>
  </r>
  <r>
    <s v="E13"/>
    <x v="136"/>
    <s v="NA"/>
    <n v="501"/>
    <x v="3"/>
  </r>
  <r>
    <s v="D14"/>
    <x v="137"/>
    <s v="NA"/>
    <n v="501"/>
    <x v="3"/>
  </r>
  <r>
    <s v="E12"/>
    <x v="138"/>
    <s v="NA"/>
    <n v="501"/>
    <x v="3"/>
  </r>
  <r>
    <s v="F13"/>
    <x v="139"/>
    <s v="NA"/>
    <n v="501"/>
    <x v="3"/>
  </r>
  <r>
    <s v="D16"/>
    <x v="140"/>
    <s v="NA"/>
    <n v="501"/>
    <x v="3"/>
  </r>
  <r>
    <s v="B12"/>
    <x v="141"/>
    <s v="NA"/>
    <n v="501"/>
    <x v="3"/>
  </r>
  <r>
    <s v="B13"/>
    <x v="142"/>
    <s v="NA"/>
    <n v="501"/>
    <x v="3"/>
  </r>
  <r>
    <s v="C10"/>
    <x v="143"/>
    <s v="NA"/>
    <n v="501"/>
    <x v="3"/>
  </r>
  <r>
    <s v="B10"/>
    <x v="144"/>
    <s v="NA"/>
    <n v="501"/>
    <x v="3"/>
  </r>
  <r>
    <s v="C5"/>
    <x v="145"/>
    <s v="NA"/>
    <n v="500"/>
    <x v="3"/>
  </r>
  <r>
    <s v="A19"/>
    <x v="146"/>
    <s v="NA"/>
    <n v="501"/>
    <x v="3"/>
  </r>
  <r>
    <s v="B18"/>
    <x v="147"/>
    <s v="NA"/>
    <n v="501"/>
    <x v="3"/>
  </r>
  <r>
    <s v="A17"/>
    <x v="148"/>
    <s v="NA"/>
    <n v="501"/>
    <x v="3"/>
  </r>
  <r>
    <s v="B17"/>
    <x v="149"/>
    <s v="NA"/>
    <n v="501"/>
    <x v="3"/>
  </r>
  <r>
    <s v="A16"/>
    <x v="150"/>
    <s v="NA"/>
    <n v="501"/>
    <x v="3"/>
  </r>
  <r>
    <s v="A15"/>
    <x v="151"/>
    <s v="NA"/>
    <n v="501"/>
    <x v="3"/>
  </r>
  <r>
    <s v="C16"/>
    <x v="152"/>
    <s v="NA"/>
    <n v="501"/>
    <x v="3"/>
  </r>
  <r>
    <s v="C15"/>
    <x v="153"/>
    <s v="NA"/>
    <n v="501"/>
    <x v="3"/>
  </r>
  <r>
    <s v="A14"/>
    <x v="154"/>
    <s v="NA"/>
    <n v="501"/>
    <x v="3"/>
  </r>
  <r>
    <s v="A12"/>
    <x v="155"/>
    <s v="NA"/>
    <n v="501"/>
    <x v="3"/>
  </r>
  <r>
    <s v="A11"/>
    <x v="156"/>
    <s v="NA"/>
    <n v="501"/>
    <x v="3"/>
  </r>
  <r>
    <s v="A10"/>
    <x v="157"/>
    <s v="NA"/>
    <n v="501"/>
    <x v="3"/>
  </r>
  <r>
    <s v="C18"/>
    <x v="158"/>
    <s v="NA"/>
    <n v="501"/>
    <x v="3"/>
  </r>
  <r>
    <s v="C17"/>
    <x v="159"/>
    <s v="NA"/>
    <n v="501"/>
    <x v="3"/>
  </r>
  <r>
    <s v="A9"/>
    <x v="160"/>
    <s v="NA"/>
    <n v="501"/>
    <x v="3"/>
  </r>
  <r>
    <s v="B15"/>
    <x v="161"/>
    <s v="NA"/>
    <n v="501"/>
    <x v="3"/>
  </r>
  <r>
    <s v="B14"/>
    <x v="162"/>
    <s v="NA"/>
    <n v="501"/>
    <x v="3"/>
  </r>
  <r>
    <s v="C12"/>
    <x v="163"/>
    <s v="NA"/>
    <n v="501"/>
    <x v="3"/>
  </r>
  <r>
    <s v="B9"/>
    <x v="164"/>
    <s v="NA"/>
    <n v="501"/>
    <x v="3"/>
  </r>
  <r>
    <s v="C11"/>
    <x v="165"/>
    <s v="NA"/>
    <n v="501"/>
    <x v="3"/>
  </r>
  <r>
    <s v="E8"/>
    <x v="166"/>
    <s v="NA"/>
    <n v="500"/>
    <x v="3"/>
  </r>
  <r>
    <s v="D9"/>
    <x v="167"/>
    <s v="NA"/>
    <n v="500"/>
    <x v="3"/>
  </r>
  <r>
    <s v="C6"/>
    <x v="168"/>
    <s v="NA"/>
    <n v="500"/>
    <x v="3"/>
  </r>
  <r>
    <s v="E9"/>
    <x v="169"/>
    <s v="NA"/>
    <n v="500"/>
    <x v="3"/>
  </r>
  <r>
    <s v="B5"/>
    <x v="170"/>
    <s v="NA"/>
    <n v="500"/>
    <x v="3"/>
  </r>
  <r>
    <s v="D5"/>
    <x v="171"/>
    <s v="NA"/>
    <n v="500"/>
    <x v="3"/>
  </r>
  <r>
    <s v="D8"/>
    <x v="172"/>
    <s v="NA"/>
    <n v="500"/>
    <x v="3"/>
  </r>
  <r>
    <s v="A5"/>
    <x v="173"/>
    <s v="NA"/>
    <n v="500"/>
    <x v="3"/>
  </r>
  <r>
    <s v="A6"/>
    <x v="174"/>
    <s v="NA"/>
    <n v="500"/>
    <x v="3"/>
  </r>
  <r>
    <s v="B7"/>
    <x v="175"/>
    <s v="NA"/>
    <n v="500"/>
    <x v="3"/>
  </r>
  <r>
    <s v="D6"/>
    <x v="176"/>
    <s v="NA"/>
    <n v="500"/>
    <x v="3"/>
  </r>
  <r>
    <s v="B8"/>
    <x v="177"/>
    <s v="NA"/>
    <n v="500"/>
    <x v="3"/>
  </r>
  <r>
    <s v="A7"/>
    <x v="178"/>
    <s v="NA"/>
    <n v="500"/>
    <x v="3"/>
  </r>
  <r>
    <s v="E6"/>
    <x v="179"/>
    <s v="NA"/>
    <n v="500"/>
    <x v="3"/>
  </r>
  <r>
    <s v="B4"/>
    <x v="180"/>
    <s v="NA"/>
    <n v="502"/>
    <x v="4"/>
  </r>
  <r>
    <s v="C3"/>
    <x v="181"/>
    <s v="NA"/>
    <n v="502"/>
    <x v="4"/>
  </r>
  <r>
    <s v="B3"/>
    <x v="182"/>
    <s v="NA"/>
    <n v="502"/>
    <x v="4"/>
  </r>
  <r>
    <s v="A2"/>
    <x v="183"/>
    <s v="NA"/>
    <n v="502"/>
    <x v="4"/>
  </r>
  <r>
    <s v="A4"/>
    <x v="184"/>
    <s v="NA"/>
    <n v="502"/>
    <x v="4"/>
  </r>
  <r>
    <s v="A1"/>
    <x v="185"/>
    <s v="NA"/>
    <n v="502"/>
    <x v="4"/>
  </r>
  <r>
    <s v="C2"/>
    <x v="186"/>
    <s v="NA"/>
    <n v="502"/>
    <x v="4"/>
  </r>
  <r>
    <s v="B2"/>
    <x v="187"/>
    <s v="NA"/>
    <n v="502"/>
    <x v="4"/>
  </r>
  <r>
    <s v="D3"/>
    <x v="188"/>
    <s v="NA"/>
    <n v="502"/>
    <x v="4"/>
  </r>
  <r>
    <s v="D1"/>
    <x v="189"/>
    <s v="NA"/>
    <n v="502"/>
    <x v="4"/>
  </r>
  <r>
    <s v="C1"/>
    <x v="190"/>
    <s v="NA"/>
    <n v="502"/>
    <x v="4"/>
  </r>
  <r>
    <s v="E1"/>
    <x v="191"/>
    <s v="NA"/>
    <n v="502"/>
    <x v="4"/>
  </r>
  <r>
    <s v="E2"/>
    <x v="192"/>
    <s v="NA"/>
    <n v="502"/>
    <x v="4"/>
  </r>
  <r>
    <s v="E3"/>
    <x v="193"/>
    <s v="NA"/>
    <n v="502"/>
    <x v="4"/>
  </r>
  <r>
    <s v="G3"/>
    <x v="194"/>
    <s v="NA"/>
    <n v="502"/>
    <x v="4"/>
  </r>
  <r>
    <s v="H3"/>
    <x v="195"/>
    <s v="NA"/>
    <n v="502"/>
    <x v="4"/>
  </r>
  <r>
    <s v="F1"/>
    <x v="196"/>
    <s v="NA"/>
    <n v="502"/>
    <x v="4"/>
  </r>
  <r>
    <s v="G2"/>
    <x v="197"/>
    <s v="NA"/>
    <n v="502"/>
    <x v="4"/>
  </r>
  <r>
    <s v="F2"/>
    <x v="198"/>
    <s v="NA"/>
    <n v="502"/>
    <x v="4"/>
  </r>
  <r>
    <s v="J3"/>
    <x v="199"/>
    <s v="NA"/>
    <n v="502"/>
    <x v="4"/>
  </r>
  <r>
    <s v="H2"/>
    <x v="200"/>
    <s v="NA"/>
    <n v="502"/>
    <x v="4"/>
  </r>
  <r>
    <s v="H1"/>
    <x v="201"/>
    <s v="NA"/>
    <n v="502"/>
    <x v="4"/>
  </r>
  <r>
    <s v="J1"/>
    <x v="202"/>
    <s v="NA"/>
    <n v="502"/>
    <x v="4"/>
  </r>
  <r>
    <s v="F4"/>
    <x v="203"/>
    <s v="NA"/>
    <n v="502"/>
    <x v="4"/>
  </r>
  <r>
    <s v="D4"/>
    <x v="204"/>
    <s v="NA"/>
    <n v="502"/>
    <x v="4"/>
  </r>
  <r>
    <s v="E4"/>
    <x v="205"/>
    <s v="NA"/>
    <n v="502"/>
    <x v="4"/>
  </r>
  <r>
    <s v="G4"/>
    <x v="206"/>
    <s v="NA"/>
    <n v="502"/>
    <x v="4"/>
  </r>
  <r>
    <s v="F5"/>
    <x v="207"/>
    <s v="NA"/>
    <n v="502"/>
    <x v="4"/>
  </r>
  <r>
    <s v="J4"/>
    <x v="208"/>
    <s v="NA"/>
    <n v="502"/>
    <x v="4"/>
  </r>
  <r>
    <s v="K1"/>
    <x v="209"/>
    <s v="NA"/>
    <n v="502"/>
    <x v="4"/>
  </r>
  <r>
    <s v="K4"/>
    <x v="210"/>
    <s v="NA"/>
    <n v="502"/>
    <x v="4"/>
  </r>
  <r>
    <s v="L4"/>
    <x v="211"/>
    <s v="NA"/>
    <n v="502"/>
    <x v="4"/>
  </r>
  <r>
    <s v="L1"/>
    <x v="212"/>
    <s v="NA"/>
    <n v="502"/>
    <x v="4"/>
  </r>
  <r>
    <s v="M4"/>
    <x v="213"/>
    <s v="NA"/>
    <n v="502"/>
    <x v="4"/>
  </r>
  <r>
    <s v="K3"/>
    <x v="214"/>
    <s v="NA"/>
    <n v="502"/>
    <x v="4"/>
  </r>
  <r>
    <s v="G5"/>
    <x v="215"/>
    <s v="NA"/>
    <n v="502"/>
    <x v="4"/>
  </r>
  <r>
    <s v="H5"/>
    <x v="216"/>
    <s v="NA"/>
    <n v="502"/>
    <x v="4"/>
  </r>
  <r>
    <s v="L2"/>
    <x v="217"/>
    <s v="NA"/>
    <n v="502"/>
    <x v="4"/>
  </r>
  <r>
    <s v="M2"/>
    <x v="218"/>
    <s v="NA"/>
    <n v="502"/>
    <x v="4"/>
  </r>
  <r>
    <s v="M3"/>
    <x v="219"/>
    <s v="NA"/>
    <n v="502"/>
    <x v="4"/>
  </r>
  <r>
    <s v="K2"/>
    <x v="220"/>
    <s v="NA"/>
    <n v="502"/>
    <x v="4"/>
  </r>
  <r>
    <s v="N2"/>
    <x v="221"/>
    <s v="NA"/>
    <n v="502"/>
    <x v="4"/>
  </r>
  <r>
    <s v="J5"/>
    <x v="222"/>
    <s v="NA"/>
    <n v="502"/>
    <x v="4"/>
  </r>
  <r>
    <s v="R4"/>
    <x v="223"/>
    <s v="NA"/>
    <n v="502"/>
    <x v="4"/>
  </r>
  <r>
    <s v="L5"/>
    <x v="224"/>
    <s v="NA"/>
    <n v="502"/>
    <x v="4"/>
  </r>
  <r>
    <s v="N5"/>
    <x v="225"/>
    <s v="NA"/>
    <n v="502"/>
    <x v="4"/>
  </r>
  <r>
    <s v="N1"/>
    <x v="226"/>
    <s v="NA"/>
    <n v="502"/>
    <x v="4"/>
  </r>
  <r>
    <s v="N3"/>
    <x v="227"/>
    <s v="NA"/>
    <n v="502"/>
    <x v="4"/>
  </r>
  <r>
    <s v="M5"/>
    <x v="228"/>
    <s v="NA"/>
    <n v="502"/>
    <x v="4"/>
  </r>
  <r>
    <s v="P5"/>
    <x v="229"/>
    <s v="NA"/>
    <n v="502"/>
    <x v="4"/>
  </r>
  <r>
    <s v="P4"/>
    <x v="230"/>
    <s v="NA"/>
    <n v="502"/>
    <x v="4"/>
  </r>
  <r>
    <s v="P1"/>
    <x v="231"/>
    <s v="NA"/>
    <n v="502"/>
    <x v="4"/>
  </r>
  <r>
    <s v="P3"/>
    <x v="232"/>
    <s v="NA"/>
    <n v="502"/>
    <x v="4"/>
  </r>
  <r>
    <s v="R3"/>
    <x v="233"/>
    <s v="NA"/>
    <n v="502"/>
    <x v="4"/>
  </r>
  <r>
    <s v="R1"/>
    <x v="234"/>
    <s v="NA"/>
    <n v="502"/>
    <x v="4"/>
  </r>
  <r>
    <s v="T1"/>
    <x v="235"/>
    <s v="NA"/>
    <n v="502"/>
    <x v="4"/>
  </r>
  <r>
    <s v="R2"/>
    <x v="236"/>
    <s v="NA"/>
    <n v="502"/>
    <x v="4"/>
  </r>
  <r>
    <s v="T2"/>
    <x v="237"/>
    <s v="NA"/>
    <n v="502"/>
    <x v="4"/>
  </r>
  <r>
    <s v="T4"/>
    <x v="238"/>
    <s v="NA"/>
    <n v="502"/>
    <x v="4"/>
  </r>
  <r>
    <s v="U4"/>
    <x v="239"/>
    <s v="NA"/>
    <n v="502"/>
    <x v="4"/>
  </r>
  <r>
    <s v="U2"/>
    <x v="240"/>
    <s v="NA"/>
    <n v="502"/>
    <x v="4"/>
  </r>
  <r>
    <s v="U3"/>
    <x v="241"/>
    <s v="NA"/>
    <n v="502"/>
    <x v="4"/>
  </r>
  <r>
    <s v="V1"/>
    <x v="242"/>
    <s v="NA"/>
    <n v="502"/>
    <x v="4"/>
  </r>
  <r>
    <s v="Y3"/>
    <x v="243"/>
    <s v="NA"/>
    <n v="502"/>
    <x v="4"/>
  </r>
  <r>
    <s v="W1"/>
    <x v="244"/>
    <s v="NA"/>
    <n v="502"/>
    <x v="4"/>
  </r>
  <r>
    <s v="Y4"/>
    <x v="245"/>
    <s v="NA"/>
    <n v="502"/>
    <x v="4"/>
  </r>
  <r>
    <s v="Y1"/>
    <x v="246"/>
    <s v="NA"/>
    <n v="502"/>
    <x v="4"/>
  </r>
  <r>
    <s v="V2"/>
    <x v="247"/>
    <s v="NA"/>
    <n v="502"/>
    <x v="4"/>
  </r>
  <r>
    <s v="Y2"/>
    <x v="248"/>
    <s v="NA"/>
    <n v="502"/>
    <x v="4"/>
  </r>
  <r>
    <s v="W4"/>
    <x v="249"/>
    <s v="NA"/>
    <n v="502"/>
    <x v="4"/>
  </r>
  <r>
    <s v="V3"/>
    <x v="250"/>
    <s v="NA"/>
    <n v="502"/>
    <x v="4"/>
  </r>
  <r>
    <s v="W3"/>
    <x v="251"/>
    <s v="NA"/>
    <n v="502"/>
    <x v="4"/>
  </r>
  <r>
    <s v="W5"/>
    <x v="252"/>
    <s v="NA"/>
    <n v="502"/>
    <x v="4"/>
  </r>
  <r>
    <s v="A8"/>
    <x v="253"/>
    <s v="NA"/>
    <s v="NA"/>
    <x v="1"/>
  </r>
  <r>
    <s v="A18"/>
    <x v="253"/>
    <s v="NA"/>
    <s v="NA"/>
    <x v="1"/>
  </r>
  <r>
    <s v="B1"/>
    <x v="253"/>
    <s v="NA"/>
    <s v="NA"/>
    <x v="1"/>
  </r>
  <r>
    <s v="B11"/>
    <x v="253"/>
    <s v="NA"/>
    <s v="NA"/>
    <x v="1"/>
  </r>
  <r>
    <s v="C4"/>
    <x v="253"/>
    <s v="NA"/>
    <s v="NA"/>
    <x v="1"/>
  </r>
  <r>
    <s v="C14"/>
    <x v="253"/>
    <s v="NA"/>
    <s v="NA"/>
    <x v="1"/>
  </r>
  <r>
    <s v="K11"/>
    <x v="253"/>
    <s v="NA"/>
    <s v="NA"/>
    <x v="1"/>
  </r>
  <r>
    <s v="D17"/>
    <x v="253"/>
    <s v="NA"/>
    <s v="NA"/>
    <x v="1"/>
  </r>
  <r>
    <s v="E10"/>
    <x v="253"/>
    <s v="NA"/>
    <s v="NA"/>
    <x v="1"/>
  </r>
  <r>
    <s v="E20"/>
    <x v="253"/>
    <s v="NA"/>
    <s v="NA"/>
    <x v="1"/>
  </r>
  <r>
    <s v="F3"/>
    <x v="253"/>
    <s v="NA"/>
    <s v="NA"/>
    <x v="1"/>
  </r>
  <r>
    <s v="F7"/>
    <x v="253"/>
    <s v="NA"/>
    <s v="NA"/>
    <x v="1"/>
  </r>
  <r>
    <s v="G10"/>
    <x v="253"/>
    <s v="NA"/>
    <s v="NA"/>
    <x v="1"/>
  </r>
  <r>
    <s v="G12"/>
    <x v="253"/>
    <s v="NA"/>
    <s v="NA"/>
    <x v="1"/>
  </r>
  <r>
    <s v="G16"/>
    <x v="253"/>
    <s v="NA"/>
    <s v="NA"/>
    <x v="1"/>
  </r>
  <r>
    <s v="H7"/>
    <x v="253"/>
    <s v="NA"/>
    <s v="NA"/>
    <x v="1"/>
  </r>
  <r>
    <s v="H9"/>
    <x v="253"/>
    <s v="NA"/>
    <s v="NA"/>
    <x v="1"/>
  </r>
  <r>
    <s v="H11"/>
    <x v="253"/>
    <s v="NA"/>
    <s v="NA"/>
    <x v="1"/>
  </r>
  <r>
    <s v="H13"/>
    <x v="253"/>
    <s v="NA"/>
    <s v="NA"/>
    <x v="1"/>
  </r>
  <r>
    <s v="H19"/>
    <x v="253"/>
    <s v="NA"/>
    <s v="NA"/>
    <x v="1"/>
  </r>
  <r>
    <s v="J2"/>
    <x v="253"/>
    <s v="NA"/>
    <s v="NA"/>
    <x v="1"/>
  </r>
  <r>
    <s v="J8"/>
    <x v="253"/>
    <s v="NA"/>
    <s v="NA"/>
    <x v="1"/>
  </r>
  <r>
    <s v="J12"/>
    <x v="253"/>
    <s v="NA"/>
    <s v="NA"/>
    <x v="1"/>
  </r>
  <r>
    <s v="K5"/>
    <x v="253"/>
    <s v="NA"/>
    <s v="NA"/>
    <x v="1"/>
  </r>
  <r>
    <s v="K7"/>
    <x v="253"/>
    <s v="NA"/>
    <s v="NA"/>
    <x v="1"/>
  </r>
  <r>
    <s v="C9"/>
    <x v="253"/>
    <s v="NA"/>
    <s v="NA"/>
    <x v="1"/>
  </r>
  <r>
    <s v="K13"/>
    <x v="253"/>
    <s v="NA"/>
    <s v="NA"/>
    <x v="1"/>
  </r>
  <r>
    <s v="K15"/>
    <x v="253"/>
    <s v="NA"/>
    <s v="NA"/>
    <x v="1"/>
  </r>
  <r>
    <s v="L8"/>
    <x v="253"/>
    <s v="NA"/>
    <s v="NA"/>
    <x v="1"/>
  </r>
  <r>
    <s v="L12"/>
    <x v="253"/>
    <s v="NA"/>
    <s v="NA"/>
    <x v="1"/>
  </r>
  <r>
    <s v="L18"/>
    <x v="253"/>
    <s v="NA"/>
    <s v="NA"/>
    <x v="1"/>
  </r>
  <r>
    <s v="M1"/>
    <x v="253"/>
    <s v="NA"/>
    <s v="NA"/>
    <x v="1"/>
  </r>
  <r>
    <s v="M7"/>
    <x v="253"/>
    <s v="NA"/>
    <s v="NA"/>
    <x v="1"/>
  </r>
  <r>
    <s v="M11"/>
    <x v="253"/>
    <s v="NA"/>
    <s v="NA"/>
    <x v="1"/>
  </r>
  <r>
    <s v="M13"/>
    <x v="253"/>
    <s v="NA"/>
    <s v="NA"/>
    <x v="1"/>
  </r>
  <r>
    <s v="N4"/>
    <x v="253"/>
    <s v="NA"/>
    <s v="NA"/>
    <x v="1"/>
  </r>
  <r>
    <s v="N8"/>
    <x v="253"/>
    <s v="NA"/>
    <s v="NA"/>
    <x v="1"/>
  </r>
  <r>
    <s v="N10"/>
    <x v="253"/>
    <s v="NA"/>
    <s v="NA"/>
    <x v="1"/>
  </r>
  <r>
    <s v="N12"/>
    <x v="253"/>
    <s v="NA"/>
    <s v="NA"/>
    <x v="1"/>
  </r>
  <r>
    <s v="N14"/>
    <x v="253"/>
    <s v="NA"/>
    <s v="NA"/>
    <x v="1"/>
  </r>
  <r>
    <s v="P7"/>
    <x v="253"/>
    <s v="NA"/>
    <s v="NA"/>
    <x v="1"/>
  </r>
  <r>
    <s v="P9"/>
    <x v="253"/>
    <s v="NA"/>
    <s v="NA"/>
    <x v="1"/>
  </r>
  <r>
    <s v="P11"/>
    <x v="253"/>
    <s v="NA"/>
    <s v="NA"/>
    <x v="1"/>
  </r>
  <r>
    <s v="P13"/>
    <x v="253"/>
    <s v="NA"/>
    <s v="NA"/>
    <x v="1"/>
  </r>
  <r>
    <s v="P17"/>
    <x v="253"/>
    <s v="NA"/>
    <s v="NA"/>
    <x v="1"/>
  </r>
  <r>
    <s v="R8"/>
    <x v="253"/>
    <s v="NA"/>
    <s v="NA"/>
    <x v="1"/>
  </r>
  <r>
    <s v="R12"/>
    <x v="253"/>
    <s v="NA"/>
    <s v="NA"/>
    <x v="1"/>
  </r>
  <r>
    <s v="R20"/>
    <x v="253"/>
    <s v="NA"/>
    <s v="NA"/>
    <x v="1"/>
  </r>
  <r>
    <s v="T3"/>
    <x v="253"/>
    <s v="NA"/>
    <s v="NA"/>
    <x v="1"/>
  </r>
  <r>
    <s v="T7"/>
    <x v="253"/>
    <s v="NA"/>
    <s v="NA"/>
    <x v="1"/>
  </r>
  <r>
    <s v="T13"/>
    <x v="253"/>
    <s v="NA"/>
    <s v="NA"/>
    <x v="1"/>
  </r>
  <r>
    <s v="U6"/>
    <x v="253"/>
    <s v="NA"/>
    <s v="NA"/>
    <x v="1"/>
  </r>
  <r>
    <s v="U16"/>
    <x v="253"/>
    <s v="NA"/>
    <s v="NA"/>
    <x v="1"/>
  </r>
  <r>
    <s v="V9"/>
    <x v="253"/>
    <s v="NA"/>
    <s v="NA"/>
    <x v="1"/>
  </r>
  <r>
    <s v="V19"/>
    <x v="253"/>
    <s v="NA"/>
    <s v="NA"/>
    <x v="1"/>
  </r>
  <r>
    <s v="W2"/>
    <x v="253"/>
    <s v="NA"/>
    <s v="NA"/>
    <x v="1"/>
  </r>
  <r>
    <s v="W12"/>
    <x v="253"/>
    <s v="NA"/>
    <s v="NA"/>
    <x v="1"/>
  </r>
  <r>
    <s v="Y5"/>
    <x v="253"/>
    <s v="NA"/>
    <s v="NA"/>
    <x v="1"/>
  </r>
  <r>
    <s v="Y15"/>
    <x v="253"/>
    <s v="NA"/>
    <s v="NA"/>
    <x v="1"/>
  </r>
  <r>
    <s v="G13"/>
    <x v="254"/>
    <s v="NA"/>
    <s v="NA"/>
    <x v="1"/>
  </r>
  <r>
    <s v="H12"/>
    <x v="254"/>
    <s v="NA"/>
    <s v="NA"/>
    <x v="1"/>
  </r>
  <r>
    <s v="J13"/>
    <x v="254"/>
    <s v="NA"/>
    <s v="NA"/>
    <x v="1"/>
  </r>
  <r>
    <s v="K12"/>
    <x v="254"/>
    <s v="NA"/>
    <s v="NA"/>
    <x v="1"/>
  </r>
  <r>
    <s v="L13"/>
    <x v="254"/>
    <s v="NA"/>
    <s v="NA"/>
    <x v="1"/>
  </r>
  <r>
    <s v="M12"/>
    <x v="254"/>
    <s v="NA"/>
    <s v="NA"/>
    <x v="1"/>
  </r>
  <r>
    <s v="N13"/>
    <x v="254"/>
    <s v="NA"/>
    <s v="NA"/>
    <x v="1"/>
  </r>
  <r>
    <s v="P12"/>
    <x v="254"/>
    <s v="NA"/>
    <s v="NA"/>
    <x v="1"/>
  </r>
  <r>
    <s v="R13"/>
    <x v="254"/>
    <s v="NA"/>
    <s v="NA"/>
    <x v="1"/>
  </r>
  <r>
    <s v="J11"/>
    <x v="255"/>
    <s v="NA"/>
    <s v="NA"/>
    <x v="1"/>
  </r>
  <r>
    <s v="L11"/>
    <x v="255"/>
    <s v="NA"/>
    <s v="NA"/>
    <x v="1"/>
  </r>
  <r>
    <s v="N9"/>
    <x v="255"/>
    <s v="NA"/>
    <s v="NA"/>
    <x v="1"/>
  </r>
  <r>
    <s v="P10"/>
    <x v="255"/>
    <s v="NA"/>
    <s v="NA"/>
    <x v="1"/>
  </r>
  <r>
    <s v="R9"/>
    <x v="255"/>
    <s v="NA"/>
    <s v="NA"/>
    <x v="1"/>
  </r>
  <r>
    <s v="N11"/>
    <x v="255"/>
    <s v="NA"/>
    <s v="NA"/>
    <x v="1"/>
  </r>
  <r>
    <s v="K6"/>
    <x v="256"/>
    <s v="NA"/>
    <n v="0"/>
    <x v="1"/>
  </r>
  <r>
    <s v="T8"/>
    <x v="257"/>
    <s v="NA"/>
    <n v="13"/>
    <x v="1"/>
  </r>
  <r>
    <s v="U11"/>
    <x v="257"/>
    <s v="NA"/>
    <n v="13"/>
    <x v="1"/>
  </r>
  <r>
    <s v="W7"/>
    <x v="257"/>
    <s v="NA"/>
    <n v="13"/>
    <x v="1"/>
  </r>
  <r>
    <s v="Y10"/>
    <x v="257"/>
    <s v="NA"/>
    <n v="13"/>
    <x v="1"/>
  </r>
  <r>
    <s v="N19"/>
    <x v="258"/>
    <s v="NA"/>
    <n v="34"/>
    <x v="1"/>
  </r>
  <r>
    <s v="R15"/>
    <x v="258"/>
    <s v="NA"/>
    <n v="34"/>
    <x v="1"/>
  </r>
  <r>
    <s v="T18"/>
    <x v="258"/>
    <s v="NA"/>
    <n v="34"/>
    <x v="1"/>
  </r>
  <r>
    <s v="V14"/>
    <x v="258"/>
    <s v="NA"/>
    <n v="34"/>
    <x v="1"/>
  </r>
  <r>
    <s v="W17"/>
    <x v="258"/>
    <s v="NA"/>
    <n v="34"/>
    <x v="1"/>
  </r>
  <r>
    <s v="Y20"/>
    <x v="258"/>
    <s v="NA"/>
    <n v="34"/>
    <x v="1"/>
  </r>
  <r>
    <s v="C19"/>
    <x v="259"/>
    <s v="NA"/>
    <n v="35"/>
    <x v="1"/>
  </r>
  <r>
    <s v="F18"/>
    <x v="259"/>
    <s v="NA"/>
    <n v="35"/>
    <x v="1"/>
  </r>
  <r>
    <s v="H14"/>
    <x v="259"/>
    <s v="NA"/>
    <n v="35"/>
    <x v="1"/>
  </r>
  <r>
    <s v="J17"/>
    <x v="259"/>
    <s v="NA"/>
    <n v="35"/>
    <x v="1"/>
  </r>
  <r>
    <s v="K20"/>
    <x v="259"/>
    <s v="NA"/>
    <n v="35"/>
    <x v="1"/>
  </r>
  <r>
    <s v="M16"/>
    <x v="259"/>
    <s v="NA"/>
    <n v="35"/>
    <x v="1"/>
  </r>
  <r>
    <s v="G11"/>
    <x v="260"/>
    <s v="NA"/>
    <s v="NA"/>
    <x v="1"/>
  </r>
  <r>
    <s v="H10"/>
    <x v="260"/>
    <s v="NA"/>
    <s v="NA"/>
    <x v="1"/>
  </r>
  <r>
    <s v="A3"/>
    <x v="261"/>
    <s v="NA"/>
    <n v="502"/>
    <x v="1"/>
  </r>
  <r>
    <s v="D2"/>
    <x v="261"/>
    <s v="NA"/>
    <n v="502"/>
    <x v="1"/>
  </r>
  <r>
    <s v="E5"/>
    <x v="261"/>
    <s v="NA"/>
    <n v="502"/>
    <x v="1"/>
  </r>
  <r>
    <s v="G1"/>
    <x v="261"/>
    <s v="NA"/>
    <n v="502"/>
    <x v="1"/>
  </r>
  <r>
    <s v="H4"/>
    <x v="261"/>
    <s v="NA"/>
    <n v="502"/>
    <x v="1"/>
  </r>
  <r>
    <s v="L3"/>
    <x v="261"/>
    <s v="NA"/>
    <n v="502"/>
    <x v="1"/>
  </r>
  <r>
    <s v="P2"/>
    <x v="261"/>
    <s v="NA"/>
    <n v="502"/>
    <x v="1"/>
  </r>
  <r>
    <s v="R5"/>
    <x v="261"/>
    <s v="NA"/>
    <n v="502"/>
    <x v="1"/>
  </r>
  <r>
    <s v="U1"/>
    <x v="261"/>
    <s v="NA"/>
    <n v="502"/>
    <x v="1"/>
  </r>
  <r>
    <s v="V4"/>
    <x v="261"/>
    <s v="NA"/>
    <n v="502"/>
    <x v="1"/>
  </r>
  <r>
    <s v="G8"/>
    <x v="262"/>
    <s v="NA"/>
    <s v="NA"/>
    <x v="1"/>
  </r>
  <r>
    <s v="G9"/>
    <x v="263"/>
    <s v="NA"/>
    <s v="NA"/>
    <x v="1"/>
  </r>
  <r>
    <s v="F8"/>
    <x v="263"/>
    <s v="NA"/>
    <s v="NA"/>
    <x v="1"/>
  </r>
  <r>
    <s v="H8"/>
    <x v="263"/>
    <s v="NA"/>
    <s v="NA"/>
    <x v="1"/>
  </r>
  <r>
    <s v="K8"/>
    <x v="263"/>
    <s v="NA"/>
    <s v="NA"/>
    <x v="1"/>
  </r>
  <r>
    <s v="M8"/>
    <x v="263"/>
    <s v="NA"/>
    <s v="NA"/>
    <x v="1"/>
  </r>
  <r>
    <s v="G7"/>
    <x v="264"/>
    <s v="NA"/>
    <s v="NA"/>
    <x v="1"/>
  </r>
  <r>
    <s v="J7"/>
    <x v="264"/>
    <s v="NA"/>
    <s v="NA"/>
    <x v="1"/>
  </r>
  <r>
    <s v="L7"/>
    <x v="264"/>
    <s v="NA"/>
    <s v="NA"/>
    <x v="1"/>
  </r>
  <r>
    <s v="N7"/>
    <x v="264"/>
    <s v="NA"/>
    <s v="NA"/>
    <x v="1"/>
  </r>
  <r>
    <s v="P8"/>
    <x v="264"/>
    <s v="NA"/>
    <s v="NA"/>
    <x v="1"/>
  </r>
  <r>
    <s v="R7"/>
    <x v="264"/>
    <s v="NA"/>
    <s v="NA"/>
    <x v="1"/>
  </r>
  <r>
    <s v="B6"/>
    <x v="265"/>
    <s v="NA"/>
    <n v="500"/>
    <x v="1"/>
  </r>
  <r>
    <s v="D7"/>
    <x v="265"/>
    <s v="NA"/>
    <n v="500"/>
    <x v="1"/>
  </r>
  <r>
    <s v="A13"/>
    <x v="266"/>
    <s v="NA"/>
    <n v="501"/>
    <x v="1"/>
  </r>
  <r>
    <s v="B16"/>
    <x v="266"/>
    <s v="NA"/>
    <n v="501"/>
    <x v="1"/>
  </r>
  <r>
    <s v="D12"/>
    <x v="266"/>
    <s v="NA"/>
    <n v="501"/>
    <x v="1"/>
  </r>
  <r>
    <s v="E15"/>
    <x v="266"/>
    <s v="NA"/>
    <n v="501"/>
    <x v="1"/>
  </r>
  <r>
    <s v="H6"/>
    <x v="267"/>
    <s v="NA"/>
    <n v="502"/>
    <x v="4"/>
  </r>
  <r>
    <s v="P6"/>
    <x v="268"/>
    <s v="NA"/>
    <n v="50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0AA80-F51C-4AAE-B34D-B98E355E0E8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N7" firstHeaderRow="1" firstDataRow="1" firstDataCol="1"/>
  <pivotFields count="5">
    <pivotField showAll="0"/>
    <pivotField dataField="1" showAll="0">
      <items count="270">
        <item x="18"/>
        <item x="0"/>
        <item x="8"/>
        <item x="1"/>
        <item x="253"/>
        <item x="2"/>
        <item x="14"/>
        <item x="22"/>
        <item x="72"/>
        <item x="71"/>
        <item x="121"/>
        <item x="42"/>
        <item x="92"/>
        <item x="41"/>
        <item x="91"/>
        <item x="44"/>
        <item x="94"/>
        <item x="43"/>
        <item x="93"/>
        <item x="46"/>
        <item x="96"/>
        <item x="45"/>
        <item x="95"/>
        <item x="48"/>
        <item x="98"/>
        <item x="47"/>
        <item x="97"/>
        <item x="100"/>
        <item x="50"/>
        <item x="99"/>
        <item x="49"/>
        <item x="52"/>
        <item x="102"/>
        <item x="51"/>
        <item x="101"/>
        <item x="54"/>
        <item x="104"/>
        <item x="53"/>
        <item x="103"/>
        <item x="56"/>
        <item x="106"/>
        <item x="55"/>
        <item x="105"/>
        <item x="58"/>
        <item x="108"/>
        <item x="57"/>
        <item x="107"/>
        <item x="60"/>
        <item x="110"/>
        <item x="59"/>
        <item x="109"/>
        <item x="24"/>
        <item x="74"/>
        <item x="23"/>
        <item x="73"/>
        <item x="62"/>
        <item x="112"/>
        <item x="61"/>
        <item x="111"/>
        <item x="64"/>
        <item x="114"/>
        <item x="63"/>
        <item x="113"/>
        <item x="66"/>
        <item x="116"/>
        <item x="65"/>
        <item x="115"/>
        <item x="68"/>
        <item x="118"/>
        <item x="67"/>
        <item x="117"/>
        <item x="70"/>
        <item x="120"/>
        <item x="69"/>
        <item x="119"/>
        <item x="26"/>
        <item x="76"/>
        <item x="25"/>
        <item x="75"/>
        <item x="28"/>
        <item x="78"/>
        <item x="77"/>
        <item x="27"/>
        <item x="30"/>
        <item x="80"/>
        <item x="29"/>
        <item x="79"/>
        <item x="32"/>
        <item x="82"/>
        <item x="31"/>
        <item x="81"/>
        <item x="34"/>
        <item x="84"/>
        <item x="33"/>
        <item x="83"/>
        <item x="36"/>
        <item x="86"/>
        <item x="35"/>
        <item x="85"/>
        <item x="38"/>
        <item x="88"/>
        <item x="37"/>
        <item x="87"/>
        <item x="40"/>
        <item x="90"/>
        <item x="39"/>
        <item x="89"/>
        <item x="21"/>
        <item x="19"/>
        <item x="122"/>
        <item x="221"/>
        <item x="220"/>
        <item x="207"/>
        <item x="206"/>
        <item x="205"/>
        <item x="204"/>
        <item x="203"/>
        <item x="219"/>
        <item x="214"/>
        <item x="213"/>
        <item x="212"/>
        <item x="211"/>
        <item x="210"/>
        <item x="209"/>
        <item x="208"/>
        <item x="224"/>
        <item x="223"/>
        <item x="222"/>
        <item x="229"/>
        <item x="227"/>
        <item x="218"/>
        <item x="217"/>
        <item x="226"/>
        <item x="185"/>
        <item x="196"/>
        <item x="235"/>
        <item x="246"/>
        <item x="181"/>
        <item x="182"/>
        <item x="194"/>
        <item x="195"/>
        <item x="199"/>
        <item x="200"/>
        <item x="201"/>
        <item x="202"/>
        <item x="231"/>
        <item x="232"/>
        <item x="233"/>
        <item x="234"/>
        <item x="183"/>
        <item x="238"/>
        <item x="239"/>
        <item x="240"/>
        <item x="241"/>
        <item x="242"/>
        <item x="243"/>
        <item x="244"/>
        <item x="245"/>
        <item x="248"/>
        <item x="251"/>
        <item x="184"/>
        <item x="247"/>
        <item x="250"/>
        <item x="188"/>
        <item x="189"/>
        <item x="190"/>
        <item x="191"/>
        <item x="192"/>
        <item x="193"/>
        <item x="187"/>
        <item x="198"/>
        <item x="237"/>
        <item x="249"/>
        <item x="186"/>
        <item x="197"/>
        <item x="236"/>
        <item x="252"/>
        <item x="180"/>
        <item x="225"/>
        <item x="230"/>
        <item x="267"/>
        <item x="268"/>
        <item x="215"/>
        <item x="216"/>
        <item x="228"/>
        <item x="123"/>
        <item x="179"/>
        <item x="178"/>
        <item x="169"/>
        <item x="168"/>
        <item x="167"/>
        <item x="166"/>
        <item x="145"/>
        <item x="125"/>
        <item x="146"/>
        <item x="126"/>
        <item x="147"/>
        <item x="127"/>
        <item x="177"/>
        <item x="148"/>
        <item x="128"/>
        <item x="149"/>
        <item x="129"/>
        <item x="150"/>
        <item x="130"/>
        <item x="151"/>
        <item x="131"/>
        <item x="152"/>
        <item x="132"/>
        <item x="176"/>
        <item x="153"/>
        <item x="133"/>
        <item x="154"/>
        <item x="134"/>
        <item x="155"/>
        <item x="135"/>
        <item x="156"/>
        <item x="157"/>
        <item x="136"/>
        <item x="158"/>
        <item x="175"/>
        <item x="137"/>
        <item x="159"/>
        <item x="138"/>
        <item x="160"/>
        <item x="139"/>
        <item x="161"/>
        <item x="140"/>
        <item x="162"/>
        <item x="141"/>
        <item x="163"/>
        <item x="174"/>
        <item x="142"/>
        <item x="164"/>
        <item x="143"/>
        <item x="165"/>
        <item x="173"/>
        <item x="172"/>
        <item x="171"/>
        <item x="170"/>
        <item x="124"/>
        <item x="144"/>
        <item x="11"/>
        <item x="17"/>
        <item x="13"/>
        <item x="12"/>
        <item x="7"/>
        <item x="15"/>
        <item x="16"/>
        <item x="20"/>
        <item x="3"/>
        <item x="255"/>
        <item x="6"/>
        <item x="260"/>
        <item x="254"/>
        <item x="256"/>
        <item x="257"/>
        <item x="258"/>
        <item x="259"/>
        <item x="261"/>
        <item x="265"/>
        <item x="266"/>
        <item x="263"/>
        <item x="264"/>
        <item x="262"/>
        <item x="5"/>
        <item x="10"/>
        <item x="9"/>
        <item x="4"/>
        <item t="default"/>
      </items>
    </pivotField>
    <pivotField showAll="0"/>
    <pivotField showAll="0"/>
    <pivotField axis="axisRow" showAll="0">
      <items count="6">
        <item x="0"/>
        <item x="4"/>
        <item x="2"/>
        <item x="3"/>
        <item x="1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in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cbway.com/capabilities.html?campaignid=177161131&amp;adgroupid=9019291411&amp;feeditemid=&amp;targetid=kwd-18635323&amp;loc_physical_ms=9140470&amp;matchtype=p&amp;network=g&amp;device=c&amp;devicemodel=&amp;creative=347465450158&amp;keyword=prototype%20pcb&amp;placement=&amp;target=&amp;adposition=&amp;gad_source=1&amp;gad_campaignid=177161131&amp;gbraid=0AAAAADpkIJXCZFl5ZFBf4NS_p3ujPqEpt&amp;gclid=CjwKCAiAs4HMBhBJEiwACrfNZRhQIezE4beuHC0P5mNjAwf3HUmy1aLNDoq-nb48uZn2jIikXHMVSRoCJiYQAvD_Bw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B492C-14AE-4E5E-ABCA-8C9873AE7D83}">
  <dimension ref="A1:V43"/>
  <sheetViews>
    <sheetView tabSelected="1" zoomScale="85" zoomScaleNormal="85" workbookViewId="0">
      <selection activeCell="D33" sqref="D33:E33"/>
    </sheetView>
  </sheetViews>
  <sheetFormatPr defaultRowHeight="15"/>
  <cols>
    <col min="1" max="1" width="5.42578125" customWidth="1"/>
    <col min="2" max="2" width="10.5703125" bestFit="1" customWidth="1"/>
    <col min="3" max="3" width="51.140625" bestFit="1" customWidth="1"/>
    <col min="4" max="4" width="6.140625" customWidth="1"/>
    <col min="5" max="5" width="9" bestFit="1" customWidth="1"/>
    <col min="6" max="6" width="10.140625" bestFit="1" customWidth="1"/>
    <col min="7" max="7" width="9.85546875" customWidth="1"/>
    <col min="15" max="15" width="15" bestFit="1" customWidth="1"/>
  </cols>
  <sheetData>
    <row r="1" spans="1:22">
      <c r="A1" t="s">
        <v>724</v>
      </c>
      <c r="E1" t="s">
        <v>740</v>
      </c>
    </row>
    <row r="2" spans="1:22">
      <c r="A2" t="s">
        <v>720</v>
      </c>
    </row>
    <row r="3" spans="1:22">
      <c r="A3" t="s">
        <v>721</v>
      </c>
      <c r="D3" s="8"/>
      <c r="E3" s="8"/>
      <c r="F3" s="8" t="s">
        <v>733</v>
      </c>
      <c r="G3" s="8" t="s">
        <v>735</v>
      </c>
      <c r="H3" s="8" t="s">
        <v>731</v>
      </c>
      <c r="I3" s="8" t="s">
        <v>737</v>
      </c>
      <c r="J3" s="8" t="s">
        <v>736</v>
      </c>
      <c r="K3" s="8" t="s">
        <v>738</v>
      </c>
      <c r="L3" s="8" t="s">
        <v>734</v>
      </c>
      <c r="M3" s="8" t="s">
        <v>741</v>
      </c>
      <c r="N3" s="8" t="s">
        <v>739</v>
      </c>
      <c r="O3" s="8" t="s">
        <v>726</v>
      </c>
      <c r="P3" s="8" t="s">
        <v>727</v>
      </c>
    </row>
    <row r="4" spans="1:22">
      <c r="D4" s="15" t="s">
        <v>718</v>
      </c>
      <c r="E4" s="12" t="s">
        <v>722</v>
      </c>
      <c r="F4" s="8">
        <v>3.5000000000000003E-2</v>
      </c>
      <c r="G4" s="8"/>
      <c r="H4" s="8">
        <v>0.115</v>
      </c>
      <c r="I4" s="8">
        <f>J4-J4*5%</f>
        <v>47.5</v>
      </c>
      <c r="J4" s="8">
        <v>50</v>
      </c>
      <c r="K4" s="8">
        <f>J4+J4*5%</f>
        <v>52.5</v>
      </c>
      <c r="L4" s="16">
        <f>(87/SQRT(G5+1.41))*LN((5.98*F5)/(0.8*H4+F4))</f>
        <v>50.054550685992083</v>
      </c>
      <c r="M4" s="8"/>
      <c r="N4" s="8" t="str">
        <f>IF(OR(L4&lt;H4,L4&gt;K4),"FAIL","PASS")</f>
        <v>PASS</v>
      </c>
      <c r="O4" s="10" t="s">
        <v>725</v>
      </c>
      <c r="P4" s="20" t="s">
        <v>743</v>
      </c>
      <c r="V4" t="s">
        <v>728</v>
      </c>
    </row>
    <row r="5" spans="1:22">
      <c r="B5" t="s">
        <v>729</v>
      </c>
      <c r="D5" s="8"/>
      <c r="E5" s="13" t="s">
        <v>732</v>
      </c>
      <c r="F5" s="8">
        <v>8.5500000000000007E-2</v>
      </c>
      <c r="G5" s="8">
        <v>4.45</v>
      </c>
      <c r="H5" s="8"/>
      <c r="I5" s="8"/>
      <c r="J5" s="8"/>
      <c r="K5" s="8"/>
      <c r="L5" s="8"/>
      <c r="M5" s="8"/>
      <c r="N5" s="9"/>
      <c r="O5" s="19" t="s">
        <v>742</v>
      </c>
      <c r="P5" s="20"/>
    </row>
    <row r="6" spans="1:22">
      <c r="B6" s="11" t="s">
        <v>730</v>
      </c>
      <c r="D6" s="17" t="s">
        <v>558</v>
      </c>
      <c r="E6" s="12" t="s">
        <v>475</v>
      </c>
      <c r="F6" s="8">
        <v>3.5000000000000003E-2</v>
      </c>
      <c r="G6" s="8"/>
      <c r="H6" s="8">
        <v>0.1</v>
      </c>
      <c r="I6" s="8"/>
      <c r="J6" s="8"/>
      <c r="K6" s="8"/>
      <c r="L6" s="8"/>
      <c r="M6" s="8"/>
      <c r="N6" s="9"/>
      <c r="O6" s="19">
        <f>SUM(F7:$F$22)</f>
        <v>1.3684999999999998</v>
      </c>
      <c r="P6" s="20"/>
    </row>
    <row r="7" spans="1:22">
      <c r="D7" s="8"/>
      <c r="E7" s="14" t="s">
        <v>708</v>
      </c>
      <c r="F7" s="8">
        <v>0.13</v>
      </c>
      <c r="G7" s="8">
        <v>4.5999999999999996</v>
      </c>
      <c r="H7" s="8"/>
      <c r="I7" s="8"/>
      <c r="J7" s="8"/>
      <c r="K7" s="8"/>
      <c r="L7" s="8"/>
      <c r="M7" s="8"/>
      <c r="N7" s="9"/>
      <c r="O7" s="19"/>
      <c r="P7" s="20"/>
    </row>
    <row r="8" spans="1:22">
      <c r="D8" s="17" t="s">
        <v>719</v>
      </c>
      <c r="E8" s="12" t="s">
        <v>485</v>
      </c>
      <c r="F8" s="8">
        <v>3.5000000000000003E-2</v>
      </c>
      <c r="G8" s="8"/>
      <c r="H8" s="8">
        <v>0.1</v>
      </c>
      <c r="I8" s="8"/>
      <c r="J8" s="8"/>
      <c r="K8" s="8"/>
      <c r="L8" s="8"/>
      <c r="M8" s="8"/>
      <c r="N8" s="9"/>
      <c r="O8" s="19">
        <f>SUM(F9:$F$22)</f>
        <v>1.2034999999999998</v>
      </c>
      <c r="P8" s="20"/>
    </row>
    <row r="9" spans="1:22">
      <c r="D9" s="8"/>
      <c r="E9" s="13" t="s">
        <v>732</v>
      </c>
      <c r="F9" s="8">
        <v>0.161</v>
      </c>
      <c r="G9" s="8">
        <v>4.74</v>
      </c>
      <c r="H9" s="8"/>
      <c r="I9" s="8"/>
      <c r="J9" s="8"/>
      <c r="K9" s="8"/>
      <c r="L9" s="8"/>
      <c r="M9" s="8"/>
      <c r="N9" s="9"/>
      <c r="O9" s="19"/>
      <c r="P9" s="20"/>
    </row>
    <row r="10" spans="1:22">
      <c r="D10" s="15" t="s">
        <v>718</v>
      </c>
      <c r="E10" s="12" t="s">
        <v>664</v>
      </c>
      <c r="F10" s="8">
        <v>3.5000000000000003E-2</v>
      </c>
      <c r="G10" s="8"/>
      <c r="H10" s="8">
        <v>0.1</v>
      </c>
      <c r="I10" s="8"/>
      <c r="J10" s="8"/>
      <c r="K10" s="8"/>
      <c r="L10" s="8"/>
      <c r="M10" s="8"/>
      <c r="N10" s="9"/>
      <c r="O10" s="19">
        <f>SUM(F11:$F$22)</f>
        <v>1.0075000000000001</v>
      </c>
      <c r="P10" s="20"/>
    </row>
    <row r="11" spans="1:22">
      <c r="D11" s="8"/>
      <c r="E11" s="14" t="s">
        <v>708</v>
      </c>
      <c r="F11" s="8">
        <v>0.13</v>
      </c>
      <c r="G11" s="8">
        <v>4.5999999999999996</v>
      </c>
      <c r="H11" s="8"/>
      <c r="I11" s="8"/>
      <c r="J11" s="8"/>
      <c r="K11" s="8"/>
      <c r="L11" s="8"/>
      <c r="M11" s="8"/>
      <c r="N11" s="9"/>
      <c r="O11" s="19"/>
      <c r="P11" s="20"/>
    </row>
    <row r="12" spans="1:22">
      <c r="D12" s="17" t="s">
        <v>558</v>
      </c>
      <c r="E12" s="12" t="s">
        <v>473</v>
      </c>
      <c r="F12" s="8">
        <v>3.5000000000000003E-2</v>
      </c>
      <c r="G12" s="8"/>
      <c r="H12" s="8">
        <v>0.1</v>
      </c>
      <c r="I12" s="8"/>
      <c r="J12" s="8"/>
      <c r="K12" s="8"/>
      <c r="L12" s="8"/>
      <c r="M12" s="8"/>
      <c r="N12" s="9"/>
      <c r="O12" s="19">
        <f>SUM(F13:$F$22)</f>
        <v>0.84250000000000014</v>
      </c>
      <c r="P12" s="20"/>
    </row>
    <row r="13" spans="1:22">
      <c r="D13" s="8"/>
      <c r="E13" s="13" t="s">
        <v>732</v>
      </c>
      <c r="F13" s="8">
        <v>0.161</v>
      </c>
      <c r="G13" s="8">
        <v>4.74</v>
      </c>
      <c r="H13" s="8"/>
      <c r="I13" s="8"/>
      <c r="J13" s="8"/>
      <c r="K13" s="8"/>
      <c r="L13" s="8"/>
      <c r="M13" s="8"/>
      <c r="N13" s="9"/>
      <c r="O13" s="19"/>
      <c r="P13" s="20"/>
    </row>
    <row r="14" spans="1:22">
      <c r="D14" s="15" t="s">
        <v>718</v>
      </c>
      <c r="E14" s="12" t="s">
        <v>499</v>
      </c>
      <c r="F14" s="8">
        <v>3.5000000000000003E-2</v>
      </c>
      <c r="G14" s="8"/>
      <c r="H14" s="8">
        <v>0.13700000000000001</v>
      </c>
      <c r="I14" s="8">
        <f>J14-J14*5%</f>
        <v>38</v>
      </c>
      <c r="J14" s="8">
        <v>40</v>
      </c>
      <c r="K14" s="8">
        <f>J14+J14*5%</f>
        <v>42</v>
      </c>
      <c r="L14" s="8"/>
      <c r="M14" s="16">
        <f>2*(60/SQRT(AVERAGE(G13,G15))*LN(4*SUM(F13+F13+F14)/(0.67*3.1416*(F14+0.8*H14))))*(60/SQRT(AVERAGE(G13,G15))*LN(4*SUM(F15+F15+F14)/(0.67*3.1416*(F14+0.8*H14))))/((60/SQRT(AVERAGE(G13,G15))*LN(4*SUM(F13+F13+F14)/(0.67*3.1416*(F14+0.8*H14))))+(60/SQRT(AVERAGE(G13,G15))*LN(4*SUM(F15+F15+F14)/(0.67*3.1416*(F14+0.8*H14)))))</f>
        <v>40.096423592288758</v>
      </c>
      <c r="N14" s="9" t="str">
        <f>IF(OR(M14&lt;I14,M14&gt;K14),"FAIL","PASS")</f>
        <v>PASS</v>
      </c>
      <c r="O14" s="19">
        <f>SUM(F15:$F$22)</f>
        <v>0.64650000000000007</v>
      </c>
      <c r="P14" s="20"/>
    </row>
    <row r="15" spans="1:22">
      <c r="D15" s="8"/>
      <c r="E15" s="14" t="s">
        <v>708</v>
      </c>
      <c r="F15" s="8">
        <v>0.13</v>
      </c>
      <c r="G15" s="8">
        <v>4.5999999999999996</v>
      </c>
      <c r="H15" s="8"/>
      <c r="I15" s="8"/>
      <c r="J15" s="8"/>
      <c r="K15" s="8"/>
      <c r="L15" s="8"/>
      <c r="M15" s="8"/>
      <c r="N15" s="9"/>
      <c r="O15" s="18"/>
      <c r="P15" s="20"/>
    </row>
    <row r="16" spans="1:22">
      <c r="D16" s="17" t="s">
        <v>558</v>
      </c>
      <c r="E16" s="12" t="s">
        <v>61</v>
      </c>
      <c r="F16" s="8">
        <v>3.5000000000000003E-2</v>
      </c>
      <c r="G16" s="8"/>
      <c r="H16" s="8">
        <v>0.1</v>
      </c>
      <c r="I16" s="8"/>
      <c r="J16" s="8"/>
      <c r="K16" s="8"/>
      <c r="L16" s="8"/>
      <c r="M16" s="8"/>
      <c r="N16" s="9"/>
      <c r="O16" s="19">
        <f>SUM(F17:$F$22)</f>
        <v>0.48150000000000004</v>
      </c>
      <c r="P16" s="20"/>
    </row>
    <row r="17" spans="4:16">
      <c r="D17" s="8"/>
      <c r="E17" s="13" t="s">
        <v>732</v>
      </c>
      <c r="F17" s="8">
        <v>0.161</v>
      </c>
      <c r="G17" s="8">
        <v>4.74</v>
      </c>
      <c r="H17" s="8"/>
      <c r="I17" s="8"/>
      <c r="J17" s="8"/>
      <c r="K17" s="8"/>
      <c r="L17" s="8"/>
      <c r="M17" s="8"/>
      <c r="N17" s="9"/>
      <c r="O17" s="18"/>
      <c r="P17" s="20"/>
    </row>
    <row r="18" spans="4:16">
      <c r="D18" s="15" t="s">
        <v>718</v>
      </c>
      <c r="E18" s="12" t="s">
        <v>680</v>
      </c>
      <c r="F18" s="8">
        <v>3.5000000000000003E-2</v>
      </c>
      <c r="G18" s="8"/>
      <c r="H18" s="8">
        <v>0.13700000000000001</v>
      </c>
      <c r="I18" s="8">
        <f>J18-J18*5%</f>
        <v>38</v>
      </c>
      <c r="J18" s="8">
        <v>40</v>
      </c>
      <c r="K18" s="8">
        <f>J18+J18*5%</f>
        <v>42</v>
      </c>
      <c r="L18" s="8"/>
      <c r="M18" s="16">
        <f>2*(60/SQRT(AVERAGE(G17,G19))*LN(4*SUM(F17+F17+F18)/(0.67*3.1416*(F18+0.8*H18))))*(60/SQRT(AVERAGE(G17,G19))*LN(4*SUM(F19+F19+F18)/(0.67*3.1416*(F18+0.8*H18))))/((60/SQRT(AVERAGE(G17,G19))*LN(4*SUM(F17+F17+F18)/(0.67*3.1416*(F18+0.8*H18))))+(60/SQRT(AVERAGE(G17,G19))*LN(4*SUM(F19+F19+F18)/(0.67*3.1416*(F18+0.8*H18)))))</f>
        <v>40.096423592288758</v>
      </c>
      <c r="N18" s="9" t="str">
        <f>IF(OR(M18&lt;I18,M18&gt;K18),"FAIL","PASS")</f>
        <v>PASS</v>
      </c>
      <c r="O18" s="19">
        <f>SUM(F19:$F$22)</f>
        <v>0.28549999999999998</v>
      </c>
      <c r="P18" s="20"/>
    </row>
    <row r="19" spans="4:16">
      <c r="D19" s="8"/>
      <c r="E19" s="14" t="s">
        <v>708</v>
      </c>
      <c r="F19" s="8">
        <v>0.13</v>
      </c>
      <c r="G19" s="8">
        <v>4.5999999999999996</v>
      </c>
      <c r="H19" s="8"/>
      <c r="I19" s="8"/>
      <c r="J19" s="8"/>
      <c r="K19" s="8"/>
      <c r="L19" s="8"/>
      <c r="M19" s="8"/>
      <c r="N19" s="9"/>
      <c r="O19" s="18"/>
      <c r="P19" s="20"/>
    </row>
    <row r="20" spans="4:16">
      <c r="D20" s="17" t="s">
        <v>558</v>
      </c>
      <c r="E20" s="12" t="s">
        <v>586</v>
      </c>
      <c r="F20" s="8">
        <v>3.5000000000000003E-2</v>
      </c>
      <c r="G20" s="8"/>
      <c r="H20" s="8">
        <v>0.1</v>
      </c>
      <c r="I20" s="8"/>
      <c r="J20" s="8"/>
      <c r="K20" s="8"/>
      <c r="L20" s="8"/>
      <c r="M20" s="9"/>
      <c r="N20" s="9"/>
      <c r="O20" s="19">
        <f>SUM(F21:$F$22)</f>
        <v>0.12050000000000001</v>
      </c>
      <c r="P20" s="20"/>
    </row>
    <row r="21" spans="4:16">
      <c r="D21" s="8"/>
      <c r="E21" s="13" t="s">
        <v>732</v>
      </c>
      <c r="F21" s="8">
        <v>8.5500000000000007E-2</v>
      </c>
      <c r="G21" s="8">
        <v>4.45</v>
      </c>
      <c r="H21" s="8"/>
      <c r="I21" s="8"/>
      <c r="J21" s="8"/>
      <c r="K21" s="8"/>
      <c r="L21" s="8"/>
      <c r="M21" s="8"/>
      <c r="N21" s="9"/>
      <c r="O21" s="18" t="s">
        <v>733</v>
      </c>
      <c r="P21" s="20"/>
    </row>
    <row r="22" spans="4:16">
      <c r="D22" s="15" t="s">
        <v>718</v>
      </c>
      <c r="E22" s="12" t="s">
        <v>723</v>
      </c>
      <c r="F22" s="8">
        <v>3.5000000000000003E-2</v>
      </c>
      <c r="G22" s="8"/>
      <c r="H22" s="8">
        <v>0.115</v>
      </c>
      <c r="I22" s="8">
        <f>J22-J22*5%</f>
        <v>38</v>
      </c>
      <c r="J22" s="8">
        <v>40</v>
      </c>
      <c r="K22" s="8">
        <f>J22+J22*5%</f>
        <v>42</v>
      </c>
      <c r="L22" s="16">
        <f>(87/SQRT(G21+1.41))*LN((5.98*F21)/(0.8*H22+F22))</f>
        <v>50.054550685992083</v>
      </c>
      <c r="M22" s="9"/>
      <c r="N22" s="9" t="str">
        <f>IF(OR(L22&lt;I22,M22&gt;K22),"FAIL","PASS")</f>
        <v>PASS</v>
      </c>
      <c r="O22" s="18"/>
      <c r="P22" s="20"/>
    </row>
    <row r="25" spans="4:16">
      <c r="D25" t="s">
        <v>751</v>
      </c>
    </row>
    <row r="26" spans="4:16">
      <c r="D26" t="s">
        <v>744</v>
      </c>
      <c r="E26" t="s">
        <v>745</v>
      </c>
    </row>
    <row r="27" spans="4:16">
      <c r="D27" t="s">
        <v>746</v>
      </c>
      <c r="F27" t="s">
        <v>747</v>
      </c>
      <c r="G27" t="s">
        <v>748</v>
      </c>
      <c r="H27" t="s">
        <v>749</v>
      </c>
    </row>
    <row r="28" spans="4:16">
      <c r="D28">
        <v>1866</v>
      </c>
      <c r="F28" t="s">
        <v>750</v>
      </c>
      <c r="G28" t="s">
        <v>750</v>
      </c>
      <c r="H28" t="s">
        <v>750</v>
      </c>
    </row>
    <row r="29" spans="4:16">
      <c r="D29" t="s">
        <v>752</v>
      </c>
    </row>
    <row r="30" spans="4:16">
      <c r="D30" t="s">
        <v>760</v>
      </c>
      <c r="E30" t="s">
        <v>753</v>
      </c>
    </row>
    <row r="31" spans="4:16">
      <c r="D31" t="s">
        <v>765</v>
      </c>
      <c r="E31" t="s">
        <v>764</v>
      </c>
    </row>
    <row r="32" spans="4:16">
      <c r="D32" t="s">
        <v>766</v>
      </c>
      <c r="E32" s="1" t="s">
        <v>763</v>
      </c>
    </row>
    <row r="33" spans="4:5">
      <c r="D33" t="s">
        <v>761</v>
      </c>
      <c r="E33" t="s">
        <v>762</v>
      </c>
    </row>
    <row r="34" spans="4:5">
      <c r="D34" t="s">
        <v>754</v>
      </c>
    </row>
    <row r="35" spans="4:5">
      <c r="D35" t="s">
        <v>755</v>
      </c>
    </row>
    <row r="39" spans="4:5">
      <c r="D39" t="s">
        <v>756</v>
      </c>
      <c r="E39" t="s">
        <v>758</v>
      </c>
    </row>
    <row r="40" spans="4:5">
      <c r="D40" t="s">
        <v>757</v>
      </c>
      <c r="E40" t="s">
        <v>759</v>
      </c>
    </row>
    <row r="41" spans="4:5">
      <c r="D41" t="s">
        <v>754</v>
      </c>
    </row>
    <row r="42" spans="4:5">
      <c r="D42" t="s">
        <v>755</v>
      </c>
    </row>
    <row r="43" spans="4:5">
      <c r="D43" t="s">
        <v>761</v>
      </c>
      <c r="E43" t="s">
        <v>762</v>
      </c>
    </row>
  </sheetData>
  <hyperlinks>
    <hyperlink ref="B6" r:id="rId1" xr:uid="{E46A94AF-9D92-4FD1-8DF0-A11A00C90C58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37FF4-F503-464F-B298-44FC2EC1D513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F0F56-EB9A-4CA2-B3FB-0CFD3A0D8A38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16028-2940-408B-A117-AA1235C5CE24}">
  <dimension ref="A1:C12"/>
  <sheetViews>
    <sheetView workbookViewId="0">
      <selection activeCell="B5" sqref="B5"/>
    </sheetView>
  </sheetViews>
  <sheetFormatPr defaultRowHeight="15"/>
  <cols>
    <col min="2" max="3" width="23.140625" bestFit="1" customWidth="1"/>
  </cols>
  <sheetData>
    <row r="1" spans="1:3">
      <c r="A1" t="s">
        <v>0</v>
      </c>
      <c r="B1" t="s">
        <v>8</v>
      </c>
      <c r="C1" t="s">
        <v>4</v>
      </c>
    </row>
    <row r="2" spans="1:3">
      <c r="A2" s="1" t="s">
        <v>1</v>
      </c>
      <c r="B2" t="s">
        <v>11</v>
      </c>
      <c r="C2" t="s">
        <v>9</v>
      </c>
    </row>
    <row r="3" spans="1:3">
      <c r="A3" s="1" t="s">
        <v>2</v>
      </c>
      <c r="B3" t="s">
        <v>715</v>
      </c>
      <c r="C3" t="s">
        <v>10</v>
      </c>
    </row>
    <row r="4" spans="1:3">
      <c r="A4" s="1" t="s">
        <v>3</v>
      </c>
      <c r="B4" t="s">
        <v>5</v>
      </c>
      <c r="C4" t="s">
        <v>9</v>
      </c>
    </row>
    <row r="5" spans="1:3">
      <c r="A5" s="1" t="s">
        <v>6</v>
      </c>
      <c r="C5" t="s">
        <v>10</v>
      </c>
    </row>
    <row r="6" spans="1:3">
      <c r="A6" s="1" t="s">
        <v>7</v>
      </c>
      <c r="B6" t="s">
        <v>715</v>
      </c>
      <c r="C6" t="s">
        <v>10</v>
      </c>
    </row>
    <row r="7" spans="1:3">
      <c r="A7" s="1" t="s">
        <v>716</v>
      </c>
      <c r="B7" t="s">
        <v>715</v>
      </c>
    </row>
    <row r="8" spans="1:3">
      <c r="A8" s="1" t="s">
        <v>717</v>
      </c>
      <c r="B8" t="s">
        <v>715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2" spans="1:3">
      <c r="A1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8CBA9-3B37-4354-9133-D71B0122E1E7}">
  <dimension ref="A1:U423"/>
  <sheetViews>
    <sheetView topLeftCell="A16" zoomScale="70" zoomScaleNormal="70" workbookViewId="0">
      <selection activeCell="M22" sqref="M22"/>
    </sheetView>
  </sheetViews>
  <sheetFormatPr defaultRowHeight="15"/>
  <cols>
    <col min="2" max="2" width="13.5703125" customWidth="1"/>
    <col min="3" max="3" width="18.85546875" bestFit="1" customWidth="1"/>
    <col min="5" max="5" width="9.5703125" bestFit="1" customWidth="1"/>
    <col min="13" max="13" width="12.42578125" bestFit="1" customWidth="1"/>
    <col min="14" max="14" width="25.42578125" bestFit="1" customWidth="1"/>
    <col min="15" max="15" width="7.42578125" bestFit="1" customWidth="1"/>
    <col min="16" max="16" width="6.28515625" bestFit="1" customWidth="1"/>
    <col min="17" max="17" width="6.140625" bestFit="1" customWidth="1"/>
    <col min="18" max="18" width="4.5703125" bestFit="1" customWidth="1"/>
    <col min="19" max="19" width="10.140625" bestFit="1" customWidth="1"/>
    <col min="20" max="20" width="7.85546875" bestFit="1" customWidth="1"/>
    <col min="21" max="22" width="7.28515625" bestFit="1" customWidth="1"/>
    <col min="23" max="24" width="8.28515625" bestFit="1" customWidth="1"/>
    <col min="25" max="25" width="13.28515625" bestFit="1" customWidth="1"/>
    <col min="26" max="26" width="19.85546875" bestFit="1" customWidth="1"/>
    <col min="27" max="27" width="13.140625" bestFit="1" customWidth="1"/>
    <col min="28" max="28" width="19.42578125" bestFit="1" customWidth="1"/>
    <col min="29" max="30" width="19" bestFit="1" customWidth="1"/>
    <col min="31" max="32" width="18.85546875" bestFit="1" customWidth="1"/>
    <col min="33" max="34" width="19.42578125" bestFit="1" customWidth="1"/>
    <col min="35" max="36" width="19.140625" bestFit="1" customWidth="1"/>
    <col min="37" max="38" width="19.42578125" bestFit="1" customWidth="1"/>
    <col min="39" max="40" width="19.140625" bestFit="1" customWidth="1"/>
    <col min="41" max="41" width="24.5703125" bestFit="1" customWidth="1"/>
    <col min="42" max="42" width="19" bestFit="1" customWidth="1"/>
    <col min="43" max="43" width="24.140625" bestFit="1" customWidth="1"/>
    <col min="44" max="44" width="18.85546875" bestFit="1" customWidth="1"/>
    <col min="45" max="45" width="17.85546875" bestFit="1" customWidth="1"/>
    <col min="46" max="46" width="24.42578125" bestFit="1" customWidth="1"/>
    <col min="47" max="47" width="17.5703125" bestFit="1" customWidth="1"/>
    <col min="48" max="48" width="24" bestFit="1" customWidth="1"/>
    <col min="49" max="50" width="13.28515625" bestFit="1" customWidth="1"/>
    <col min="51" max="52" width="13.140625" bestFit="1" customWidth="1"/>
    <col min="53" max="53" width="13.28515625" bestFit="1" customWidth="1"/>
    <col min="54" max="54" width="18.85546875" bestFit="1" customWidth="1"/>
    <col min="55" max="55" width="13.140625" bestFit="1" customWidth="1"/>
    <col min="56" max="56" width="18.42578125" bestFit="1" customWidth="1"/>
    <col min="57" max="57" width="13.28515625" bestFit="1" customWidth="1"/>
    <col min="58" max="58" width="19.85546875" bestFit="1" customWidth="1"/>
    <col min="59" max="59" width="13.140625" bestFit="1" customWidth="1"/>
    <col min="60" max="60" width="19.42578125" bestFit="1" customWidth="1"/>
    <col min="61" max="62" width="18.42578125" bestFit="1" customWidth="1"/>
    <col min="63" max="64" width="13.140625" bestFit="1" customWidth="1"/>
    <col min="65" max="65" width="12.140625" bestFit="1" customWidth="1"/>
    <col min="66" max="66" width="17.85546875" bestFit="1" customWidth="1"/>
    <col min="67" max="67" width="12" bestFit="1" customWidth="1"/>
    <col min="68" max="68" width="17.42578125" bestFit="1" customWidth="1"/>
    <col min="69" max="69" width="13.28515625" bestFit="1" customWidth="1"/>
    <col min="70" max="70" width="18.85546875" bestFit="1" customWidth="1"/>
    <col min="71" max="71" width="13.140625" bestFit="1" customWidth="1"/>
    <col min="72" max="72" width="18.42578125" bestFit="1" customWidth="1"/>
    <col min="73" max="73" width="17.85546875" bestFit="1" customWidth="1"/>
    <col min="74" max="74" width="24.42578125" bestFit="1" customWidth="1"/>
    <col min="75" max="75" width="17.5703125" bestFit="1" customWidth="1"/>
    <col min="76" max="76" width="24" bestFit="1" customWidth="1"/>
    <col min="77" max="77" width="13.28515625" bestFit="1" customWidth="1"/>
    <col min="78" max="78" width="18.85546875" bestFit="1" customWidth="1"/>
    <col min="79" max="79" width="13.140625" bestFit="1" customWidth="1"/>
    <col min="80" max="80" width="18.42578125" bestFit="1" customWidth="1"/>
    <col min="81" max="82" width="13.28515625" bestFit="1" customWidth="1"/>
    <col min="83" max="84" width="13.140625" bestFit="1" customWidth="1"/>
    <col min="85" max="85" width="13.28515625" bestFit="1" customWidth="1"/>
    <col min="86" max="86" width="19.85546875" bestFit="1" customWidth="1"/>
    <col min="87" max="87" width="13.140625" bestFit="1" customWidth="1"/>
    <col min="88" max="88" width="19.42578125" bestFit="1" customWidth="1"/>
    <col min="89" max="89" width="12.140625" bestFit="1" customWidth="1"/>
    <col min="90" max="90" width="17.85546875" bestFit="1" customWidth="1"/>
    <col min="91" max="91" width="12" bestFit="1" customWidth="1"/>
    <col min="92" max="92" width="17.42578125" bestFit="1" customWidth="1"/>
    <col min="93" max="93" width="16.7109375" bestFit="1" customWidth="1"/>
    <col min="94" max="94" width="22.42578125" bestFit="1" customWidth="1"/>
    <col min="95" max="95" width="22" bestFit="1" customWidth="1"/>
    <col min="96" max="96" width="24.42578125" bestFit="1" customWidth="1"/>
    <col min="97" max="98" width="12.140625" bestFit="1" customWidth="1"/>
    <col min="99" max="100" width="12" bestFit="1" customWidth="1"/>
    <col min="101" max="101" width="12.140625" bestFit="1" customWidth="1"/>
    <col min="102" max="102" width="17.85546875" bestFit="1" customWidth="1"/>
    <col min="103" max="103" width="12" bestFit="1" customWidth="1"/>
    <col min="104" max="106" width="17.42578125" bestFit="1" customWidth="1"/>
    <col min="107" max="108" width="12" bestFit="1" customWidth="1"/>
    <col min="109" max="109" width="12.140625" bestFit="1" customWidth="1"/>
    <col min="110" max="110" width="17.85546875" bestFit="1" customWidth="1"/>
    <col min="111" max="111" width="12" bestFit="1" customWidth="1"/>
    <col min="112" max="112" width="17.42578125" bestFit="1" customWidth="1"/>
    <col min="113" max="113" width="12.140625" bestFit="1" customWidth="1"/>
    <col min="114" max="114" width="18.85546875" bestFit="1" customWidth="1"/>
    <col min="115" max="115" width="12" bestFit="1" customWidth="1"/>
    <col min="116" max="116" width="18.42578125" bestFit="1" customWidth="1"/>
    <col min="117" max="117" width="16.7109375" bestFit="1" customWidth="1"/>
    <col min="118" max="118" width="22.42578125" bestFit="1" customWidth="1"/>
    <col min="119" max="119" width="16.5703125" bestFit="1" customWidth="1"/>
    <col min="120" max="120" width="22" bestFit="1" customWidth="1"/>
    <col min="121" max="121" width="3.42578125" bestFit="1" customWidth="1"/>
    <col min="122" max="122" width="13.140625" bestFit="1" customWidth="1"/>
    <col min="123" max="123" width="10.85546875" bestFit="1" customWidth="1"/>
    <col min="124" max="125" width="14.42578125" bestFit="1" customWidth="1"/>
    <col min="126" max="130" width="15.42578125" bestFit="1" customWidth="1"/>
    <col min="131" max="138" width="14.42578125" bestFit="1" customWidth="1"/>
    <col min="139" max="141" width="15.42578125" bestFit="1" customWidth="1"/>
    <col min="142" max="142" width="17.7109375" bestFit="1" customWidth="1"/>
    <col min="143" max="143" width="15.5703125" bestFit="1" customWidth="1"/>
    <col min="144" max="144" width="15.85546875" bestFit="1" customWidth="1"/>
    <col min="145" max="145" width="15.7109375" bestFit="1" customWidth="1"/>
    <col min="146" max="146" width="16.5703125" bestFit="1" customWidth="1"/>
    <col min="147" max="150" width="16" bestFit="1" customWidth="1"/>
    <col min="151" max="152" width="15.85546875" bestFit="1" customWidth="1"/>
    <col min="153" max="162" width="16.85546875" bestFit="1" customWidth="1"/>
    <col min="163" max="163" width="15.85546875" bestFit="1" customWidth="1"/>
    <col min="164" max="173" width="16.85546875" bestFit="1" customWidth="1"/>
    <col min="174" max="174" width="15.85546875" bestFit="1" customWidth="1"/>
    <col min="175" max="176" width="16.85546875" bestFit="1" customWidth="1"/>
    <col min="177" max="182" width="15.85546875" bestFit="1" customWidth="1"/>
    <col min="183" max="186" width="19.140625" bestFit="1" customWidth="1"/>
    <col min="187" max="190" width="18.85546875" bestFit="1" customWidth="1"/>
    <col min="191" max="191" width="18.7109375" bestFit="1" customWidth="1"/>
    <col min="192" max="192" width="15.7109375" bestFit="1" customWidth="1"/>
    <col min="193" max="195" width="17.5703125" bestFit="1" customWidth="1"/>
    <col min="196" max="196" width="15.85546875" bestFit="1" customWidth="1"/>
    <col min="197" max="197" width="15.5703125" bestFit="1" customWidth="1"/>
    <col min="198" max="198" width="16.85546875" bestFit="1" customWidth="1"/>
    <col min="199" max="199" width="16.140625" bestFit="1" customWidth="1"/>
    <col min="200" max="201" width="11.85546875" bestFit="1" customWidth="1"/>
    <col min="202" max="211" width="13" bestFit="1" customWidth="1"/>
    <col min="212" max="212" width="11.85546875" bestFit="1" customWidth="1"/>
    <col min="213" max="222" width="13" bestFit="1" customWidth="1"/>
    <col min="223" max="223" width="11.85546875" bestFit="1" customWidth="1"/>
    <col min="224" max="233" width="13" bestFit="1" customWidth="1"/>
    <col min="234" max="234" width="11.85546875" bestFit="1" customWidth="1"/>
    <col min="235" max="244" width="13" bestFit="1" customWidth="1"/>
    <col min="245" max="245" width="11.85546875" bestFit="1" customWidth="1"/>
    <col min="246" max="249" width="13" bestFit="1" customWidth="1"/>
    <col min="250" max="253" width="11.85546875" bestFit="1" customWidth="1"/>
    <col min="254" max="254" width="13.140625" bestFit="1" customWidth="1"/>
    <col min="255" max="255" width="13.85546875" bestFit="1" customWidth="1"/>
    <col min="256" max="256" width="9.28515625" bestFit="1" customWidth="1"/>
    <col min="257" max="259" width="10.140625" bestFit="1" customWidth="1"/>
    <col min="260" max="260" width="5.85546875" bestFit="1" customWidth="1"/>
    <col min="261" max="261" width="5.42578125" bestFit="1" customWidth="1"/>
    <col min="262" max="263" width="6.140625" bestFit="1" customWidth="1"/>
    <col min="264" max="264" width="9.85546875" bestFit="1" customWidth="1"/>
    <col min="265" max="265" width="7.85546875" bestFit="1" customWidth="1"/>
    <col min="266" max="266" width="10.28515625" bestFit="1" customWidth="1"/>
    <col min="267" max="267" width="9.28515625" bestFit="1" customWidth="1"/>
    <col min="268" max="268" width="7.140625" bestFit="1" customWidth="1"/>
    <col min="269" max="269" width="7.5703125" bestFit="1" customWidth="1"/>
    <col min="270" max="272" width="8.5703125" bestFit="1" customWidth="1"/>
    <col min="273" max="273" width="14.140625" bestFit="1" customWidth="1"/>
    <col min="274" max="275" width="14.7109375" bestFit="1" customWidth="1"/>
    <col min="276" max="276" width="9" bestFit="1" customWidth="1"/>
    <col min="277" max="277" width="8.28515625" bestFit="1" customWidth="1"/>
    <col min="278" max="278" width="7.42578125" bestFit="1" customWidth="1"/>
    <col min="279" max="279" width="5" bestFit="1" customWidth="1"/>
    <col min="280" max="280" width="4.85546875" bestFit="1" customWidth="1"/>
    <col min="281" max="281" width="8.140625" bestFit="1" customWidth="1"/>
    <col min="282" max="282" width="8" bestFit="1" customWidth="1"/>
    <col min="283" max="283" width="10.42578125" bestFit="1" customWidth="1"/>
  </cols>
  <sheetData>
    <row r="1" spans="1:17">
      <c r="A1" s="2" t="s">
        <v>16</v>
      </c>
      <c r="B1" t="s">
        <v>17</v>
      </c>
      <c r="C1" t="s">
        <v>18</v>
      </c>
      <c r="D1" t="s">
        <v>19</v>
      </c>
      <c r="E1" t="s">
        <v>20</v>
      </c>
      <c r="G1" s="2" t="s">
        <v>698</v>
      </c>
      <c r="M1" s="3" t="s">
        <v>699</v>
      </c>
      <c r="N1" t="s">
        <v>701</v>
      </c>
      <c r="O1" t="s">
        <v>704</v>
      </c>
    </row>
    <row r="2" spans="1:17">
      <c r="A2" s="5" t="s">
        <v>21</v>
      </c>
      <c r="B2" t="s">
        <v>22</v>
      </c>
      <c r="C2" t="s">
        <v>23</v>
      </c>
      <c r="D2">
        <v>0</v>
      </c>
      <c r="E2" t="s">
        <v>24</v>
      </c>
      <c r="G2" s="2" t="s">
        <v>696</v>
      </c>
      <c r="M2" s="4" t="s">
        <v>24</v>
      </c>
      <c r="N2">
        <v>21</v>
      </c>
      <c r="O2" t="s">
        <v>705</v>
      </c>
    </row>
    <row r="3" spans="1:17">
      <c r="A3" s="5" t="s">
        <v>25</v>
      </c>
      <c r="B3" t="s">
        <v>26</v>
      </c>
      <c r="C3" t="s">
        <v>23</v>
      </c>
      <c r="D3">
        <v>0</v>
      </c>
      <c r="E3" t="s">
        <v>24</v>
      </c>
      <c r="G3" s="2" t="s">
        <v>697</v>
      </c>
      <c r="M3" s="4" t="s">
        <v>412</v>
      </c>
      <c r="N3">
        <v>75</v>
      </c>
      <c r="O3" t="s">
        <v>703</v>
      </c>
    </row>
    <row r="4" spans="1:17">
      <c r="A4" s="2" t="s">
        <v>27</v>
      </c>
      <c r="B4" t="s">
        <v>28</v>
      </c>
      <c r="C4" t="s">
        <v>23</v>
      </c>
      <c r="D4">
        <v>0</v>
      </c>
      <c r="E4" t="s">
        <v>24</v>
      </c>
      <c r="G4" s="2"/>
      <c r="M4" s="4" t="s">
        <v>94</v>
      </c>
      <c r="N4">
        <v>100</v>
      </c>
    </row>
    <row r="5" spans="1:17">
      <c r="A5" s="2" t="s">
        <v>29</v>
      </c>
      <c r="B5" t="s">
        <v>30</v>
      </c>
      <c r="C5" t="s">
        <v>23</v>
      </c>
      <c r="D5">
        <v>0</v>
      </c>
      <c r="E5" t="s">
        <v>24</v>
      </c>
      <c r="G5" s="2"/>
      <c r="M5" s="4" t="s">
        <v>295</v>
      </c>
      <c r="N5">
        <v>58</v>
      </c>
    </row>
    <row r="6" spans="1:17">
      <c r="A6" s="5" t="s">
        <v>31</v>
      </c>
      <c r="B6" t="s">
        <v>32</v>
      </c>
      <c r="C6" t="s">
        <v>23</v>
      </c>
      <c r="D6">
        <v>0</v>
      </c>
      <c r="E6" t="s">
        <v>24</v>
      </c>
      <c r="M6" s="4" t="s">
        <v>23</v>
      </c>
      <c r="N6">
        <v>146</v>
      </c>
      <c r="O6" t="s">
        <v>702</v>
      </c>
    </row>
    <row r="7" spans="1:17">
      <c r="A7" s="5" t="s">
        <v>33</v>
      </c>
      <c r="B7" t="s">
        <v>34</v>
      </c>
      <c r="C7" t="s">
        <v>23</v>
      </c>
      <c r="D7">
        <v>0</v>
      </c>
      <c r="E7" t="s">
        <v>24</v>
      </c>
      <c r="M7" s="4" t="s">
        <v>700</v>
      </c>
      <c r="N7">
        <v>400</v>
      </c>
    </row>
    <row r="8" spans="1:17">
      <c r="A8" s="2" t="s">
        <v>35</v>
      </c>
      <c r="B8" t="s">
        <v>36</v>
      </c>
      <c r="C8" t="s">
        <v>23</v>
      </c>
      <c r="D8">
        <v>0</v>
      </c>
      <c r="E8" t="s">
        <v>24</v>
      </c>
    </row>
    <row r="9" spans="1:17">
      <c r="A9" s="5" t="s">
        <v>37</v>
      </c>
      <c r="B9" t="s">
        <v>38</v>
      </c>
      <c r="C9" t="s">
        <v>23</v>
      </c>
      <c r="D9">
        <v>0</v>
      </c>
      <c r="E9" t="s">
        <v>24</v>
      </c>
      <c r="G9" s="2"/>
      <c r="J9" t="s">
        <v>710</v>
      </c>
      <c r="K9" t="s">
        <v>24</v>
      </c>
      <c r="M9" t="s">
        <v>21</v>
      </c>
      <c r="N9" t="s">
        <v>22</v>
      </c>
      <c r="O9" t="s">
        <v>23</v>
      </c>
      <c r="P9">
        <v>0</v>
      </c>
      <c r="Q9" t="s">
        <v>24</v>
      </c>
    </row>
    <row r="10" spans="1:17">
      <c r="A10" s="5" t="s">
        <v>39</v>
      </c>
      <c r="B10" t="s">
        <v>40</v>
      </c>
      <c r="C10" t="s">
        <v>23</v>
      </c>
      <c r="D10">
        <v>0</v>
      </c>
      <c r="E10" t="s">
        <v>24</v>
      </c>
      <c r="G10" s="2"/>
      <c r="M10" t="s">
        <v>25</v>
      </c>
      <c r="N10" t="s">
        <v>26</v>
      </c>
      <c r="O10" t="s">
        <v>23</v>
      </c>
      <c r="P10">
        <v>0</v>
      </c>
      <c r="Q10" t="s">
        <v>24</v>
      </c>
    </row>
    <row r="11" spans="1:17">
      <c r="A11" s="5" t="s">
        <v>41</v>
      </c>
      <c r="B11" t="s">
        <v>42</v>
      </c>
      <c r="C11" t="s">
        <v>23</v>
      </c>
      <c r="D11">
        <v>0</v>
      </c>
      <c r="E11" t="s">
        <v>24</v>
      </c>
      <c r="G11" s="2"/>
      <c r="M11" t="s">
        <v>31</v>
      </c>
      <c r="N11" t="s">
        <v>32</v>
      </c>
      <c r="O11" t="s">
        <v>23</v>
      </c>
      <c r="P11">
        <v>0</v>
      </c>
      <c r="Q11" t="s">
        <v>24</v>
      </c>
    </row>
    <row r="12" spans="1:17">
      <c r="A12" s="5" t="s">
        <v>43</v>
      </c>
      <c r="B12" t="s">
        <v>44</v>
      </c>
      <c r="C12" t="s">
        <v>23</v>
      </c>
      <c r="D12">
        <v>0</v>
      </c>
      <c r="E12" t="s">
        <v>24</v>
      </c>
      <c r="G12" s="2"/>
      <c r="M12" t="s">
        <v>33</v>
      </c>
      <c r="N12" t="s">
        <v>34</v>
      </c>
      <c r="O12" t="s">
        <v>23</v>
      </c>
      <c r="P12">
        <v>0</v>
      </c>
      <c r="Q12" t="s">
        <v>24</v>
      </c>
    </row>
    <row r="13" spans="1:17">
      <c r="A13" s="2" t="s">
        <v>45</v>
      </c>
      <c r="B13" t="s">
        <v>46</v>
      </c>
      <c r="C13" t="s">
        <v>23</v>
      </c>
      <c r="D13">
        <v>0</v>
      </c>
      <c r="E13" t="s">
        <v>24</v>
      </c>
      <c r="G13" s="2"/>
      <c r="M13" t="s">
        <v>37</v>
      </c>
      <c r="N13" t="s">
        <v>38</v>
      </c>
      <c r="O13" t="s">
        <v>23</v>
      </c>
      <c r="P13">
        <v>0</v>
      </c>
      <c r="Q13" t="s">
        <v>24</v>
      </c>
    </row>
    <row r="14" spans="1:17">
      <c r="A14" s="2" t="s">
        <v>47</v>
      </c>
      <c r="B14" t="s">
        <v>48</v>
      </c>
      <c r="C14" t="s">
        <v>23</v>
      </c>
      <c r="D14">
        <v>0</v>
      </c>
      <c r="E14" t="s">
        <v>24</v>
      </c>
      <c r="G14" s="2"/>
      <c r="M14" t="s">
        <v>39</v>
      </c>
      <c r="N14" t="s">
        <v>40</v>
      </c>
      <c r="O14" t="s">
        <v>23</v>
      </c>
      <c r="P14">
        <v>0</v>
      </c>
      <c r="Q14" t="s">
        <v>24</v>
      </c>
    </row>
    <row r="15" spans="1:17">
      <c r="A15" s="2" t="s">
        <v>49</v>
      </c>
      <c r="B15" t="s">
        <v>50</v>
      </c>
      <c r="C15" t="s">
        <v>23</v>
      </c>
      <c r="D15">
        <v>0</v>
      </c>
      <c r="E15" t="s">
        <v>24</v>
      </c>
      <c r="G15" s="2"/>
      <c r="M15" t="s">
        <v>41</v>
      </c>
      <c r="N15" t="s">
        <v>42</v>
      </c>
      <c r="O15" t="s">
        <v>23</v>
      </c>
      <c r="P15">
        <v>0</v>
      </c>
      <c r="Q15" t="s">
        <v>24</v>
      </c>
    </row>
    <row r="16" spans="1:17">
      <c r="A16" s="5" t="s">
        <v>51</v>
      </c>
      <c r="B16" t="s">
        <v>52</v>
      </c>
      <c r="C16" t="s">
        <v>23</v>
      </c>
      <c r="D16">
        <v>0</v>
      </c>
      <c r="E16" t="s">
        <v>24</v>
      </c>
      <c r="G16" s="2"/>
      <c r="M16" t="s">
        <v>43</v>
      </c>
      <c r="N16" t="s">
        <v>44</v>
      </c>
      <c r="O16" t="s">
        <v>23</v>
      </c>
      <c r="P16">
        <v>0</v>
      </c>
      <c r="Q16" t="s">
        <v>24</v>
      </c>
    </row>
    <row r="17" spans="1:21">
      <c r="A17" s="5" t="s">
        <v>53</v>
      </c>
      <c r="B17" t="s">
        <v>54</v>
      </c>
      <c r="C17" t="s">
        <v>23</v>
      </c>
      <c r="D17">
        <v>0</v>
      </c>
      <c r="E17" t="s">
        <v>24</v>
      </c>
      <c r="G17" s="2"/>
      <c r="M17" t="s">
        <v>51</v>
      </c>
      <c r="N17" t="s">
        <v>52</v>
      </c>
      <c r="O17" t="s">
        <v>23</v>
      </c>
      <c r="P17">
        <v>0</v>
      </c>
      <c r="Q17" t="s">
        <v>24</v>
      </c>
    </row>
    <row r="18" spans="1:21">
      <c r="A18" s="5" t="s">
        <v>55</v>
      </c>
      <c r="B18" t="s">
        <v>56</v>
      </c>
      <c r="C18" t="s">
        <v>23</v>
      </c>
      <c r="D18">
        <v>0</v>
      </c>
      <c r="E18" t="s">
        <v>24</v>
      </c>
      <c r="G18" s="2"/>
      <c r="M18" t="s">
        <v>53</v>
      </c>
      <c r="N18" t="s">
        <v>54</v>
      </c>
      <c r="O18" t="s">
        <v>23</v>
      </c>
      <c r="P18">
        <v>0</v>
      </c>
      <c r="Q18" t="s">
        <v>24</v>
      </c>
    </row>
    <row r="19" spans="1:21">
      <c r="A19" s="2" t="s">
        <v>57</v>
      </c>
      <c r="B19" t="s">
        <v>58</v>
      </c>
      <c r="C19" t="s">
        <v>23</v>
      </c>
      <c r="D19">
        <v>0</v>
      </c>
      <c r="E19" t="s">
        <v>24</v>
      </c>
      <c r="G19" s="2"/>
      <c r="M19" t="s">
        <v>55</v>
      </c>
      <c r="N19" t="s">
        <v>56</v>
      </c>
      <c r="O19" t="s">
        <v>23</v>
      </c>
      <c r="P19">
        <v>0</v>
      </c>
      <c r="Q19" t="s">
        <v>24</v>
      </c>
    </row>
    <row r="20" spans="1:21">
      <c r="A20" s="5" t="s">
        <v>59</v>
      </c>
      <c r="B20" t="s">
        <v>60</v>
      </c>
      <c r="C20" t="s">
        <v>23</v>
      </c>
      <c r="D20">
        <v>0</v>
      </c>
      <c r="E20" t="s">
        <v>24</v>
      </c>
      <c r="G20" s="2"/>
      <c r="M20" t="s">
        <v>59</v>
      </c>
      <c r="N20" t="s">
        <v>60</v>
      </c>
      <c r="O20" t="s">
        <v>23</v>
      </c>
      <c r="P20">
        <v>0</v>
      </c>
      <c r="Q20" t="s">
        <v>24</v>
      </c>
    </row>
    <row r="21" spans="1:21">
      <c r="A21" s="5" t="s">
        <v>61</v>
      </c>
      <c r="B21" t="s">
        <v>62</v>
      </c>
      <c r="C21" t="s">
        <v>23</v>
      </c>
      <c r="D21">
        <v>0</v>
      </c>
      <c r="E21" t="s">
        <v>24</v>
      </c>
      <c r="G21" s="2"/>
      <c r="M21" t="s">
        <v>61</v>
      </c>
      <c r="N21" t="s">
        <v>62</v>
      </c>
      <c r="O21" t="s">
        <v>23</v>
      </c>
      <c r="P21">
        <v>0</v>
      </c>
      <c r="Q21" t="s">
        <v>24</v>
      </c>
    </row>
    <row r="22" spans="1:21">
      <c r="A22" s="5" t="s">
        <v>63</v>
      </c>
      <c r="B22" t="s">
        <v>64</v>
      </c>
      <c r="C22" t="s">
        <v>23</v>
      </c>
      <c r="D22">
        <v>0</v>
      </c>
      <c r="E22" t="s">
        <v>24</v>
      </c>
      <c r="G22" s="2"/>
      <c r="M22" t="s">
        <v>63</v>
      </c>
      <c r="N22" t="s">
        <v>64</v>
      </c>
      <c r="O22" t="s">
        <v>23</v>
      </c>
      <c r="P22">
        <v>0</v>
      </c>
      <c r="Q22" t="s">
        <v>24</v>
      </c>
    </row>
    <row r="23" spans="1:21">
      <c r="A23" s="2" t="s">
        <v>65</v>
      </c>
      <c r="B23" t="s">
        <v>66</v>
      </c>
      <c r="C23" t="s">
        <v>23</v>
      </c>
      <c r="D23" t="s">
        <v>67</v>
      </c>
      <c r="E23" t="s">
        <v>23</v>
      </c>
      <c r="G23" s="2"/>
    </row>
    <row r="24" spans="1:21">
      <c r="A24" s="2" t="s">
        <v>68</v>
      </c>
      <c r="B24" t="s">
        <v>66</v>
      </c>
      <c r="C24" t="s">
        <v>23</v>
      </c>
      <c r="D24" t="s">
        <v>67</v>
      </c>
      <c r="E24" t="s">
        <v>23</v>
      </c>
      <c r="G24" s="2"/>
    </row>
    <row r="25" spans="1:21">
      <c r="A25" s="2" t="s">
        <v>69</v>
      </c>
      <c r="B25" t="s">
        <v>66</v>
      </c>
      <c r="C25" t="s">
        <v>23</v>
      </c>
      <c r="D25" t="s">
        <v>67</v>
      </c>
      <c r="E25" t="s">
        <v>23</v>
      </c>
      <c r="G25" s="2"/>
    </row>
    <row r="26" spans="1:21">
      <c r="A26" s="2" t="s">
        <v>70</v>
      </c>
      <c r="B26" t="s">
        <v>66</v>
      </c>
      <c r="C26" t="s">
        <v>23</v>
      </c>
      <c r="D26" t="s">
        <v>67</v>
      </c>
      <c r="E26" t="s">
        <v>23</v>
      </c>
      <c r="G26" s="2"/>
    </row>
    <row r="27" spans="1:21">
      <c r="A27" s="2" t="s">
        <v>71</v>
      </c>
      <c r="B27" t="s">
        <v>66</v>
      </c>
      <c r="C27" t="s">
        <v>23</v>
      </c>
      <c r="D27" t="s">
        <v>67</v>
      </c>
      <c r="E27" t="s">
        <v>23</v>
      </c>
      <c r="G27" s="2"/>
      <c r="J27" t="s">
        <v>709</v>
      </c>
      <c r="K27" t="s">
        <v>706</v>
      </c>
      <c r="M27" t="s">
        <v>687</v>
      </c>
      <c r="N27" t="s">
        <v>688</v>
      </c>
      <c r="O27" t="s">
        <v>23</v>
      </c>
      <c r="P27">
        <v>0</v>
      </c>
      <c r="Q27" t="s">
        <v>24</v>
      </c>
      <c r="T27" t="s">
        <v>687</v>
      </c>
      <c r="U27" t="s">
        <v>688</v>
      </c>
    </row>
    <row r="28" spans="1:21">
      <c r="A28" s="2" t="s">
        <v>72</v>
      </c>
      <c r="B28" t="s">
        <v>66</v>
      </c>
      <c r="C28" t="s">
        <v>23</v>
      </c>
      <c r="D28" t="s">
        <v>67</v>
      </c>
      <c r="E28" t="s">
        <v>23</v>
      </c>
      <c r="G28" s="2"/>
      <c r="M28" t="s">
        <v>658</v>
      </c>
      <c r="N28" t="s">
        <v>659</v>
      </c>
      <c r="O28" t="s">
        <v>23</v>
      </c>
      <c r="P28">
        <v>0</v>
      </c>
      <c r="Q28" t="s">
        <v>24</v>
      </c>
      <c r="T28" t="s">
        <v>658</v>
      </c>
      <c r="U28" t="s">
        <v>659</v>
      </c>
    </row>
    <row r="29" spans="1:21">
      <c r="A29" s="2" t="s">
        <v>73</v>
      </c>
      <c r="B29" t="s">
        <v>66</v>
      </c>
      <c r="C29" t="s">
        <v>23</v>
      </c>
      <c r="D29" t="s">
        <v>67</v>
      </c>
      <c r="E29" t="s">
        <v>23</v>
      </c>
      <c r="G29" s="2"/>
      <c r="M29" t="s">
        <v>689</v>
      </c>
      <c r="N29" t="s">
        <v>688</v>
      </c>
      <c r="O29" t="s">
        <v>23</v>
      </c>
      <c r="P29">
        <v>0</v>
      </c>
      <c r="Q29" t="s">
        <v>24</v>
      </c>
      <c r="T29" t="s">
        <v>689</v>
      </c>
      <c r="U29" t="s">
        <v>688</v>
      </c>
    </row>
    <row r="30" spans="1:21">
      <c r="A30" s="2" t="s">
        <v>74</v>
      </c>
      <c r="B30" t="s">
        <v>66</v>
      </c>
      <c r="C30" t="s">
        <v>23</v>
      </c>
      <c r="D30" t="s">
        <v>67</v>
      </c>
      <c r="E30" t="s">
        <v>23</v>
      </c>
      <c r="G30" s="2"/>
      <c r="M30" t="s">
        <v>684</v>
      </c>
      <c r="N30" t="s">
        <v>685</v>
      </c>
      <c r="O30" t="s">
        <v>23</v>
      </c>
      <c r="P30">
        <v>0</v>
      </c>
      <c r="Q30" t="s">
        <v>24</v>
      </c>
      <c r="T30" t="s">
        <v>684</v>
      </c>
      <c r="U30" t="s">
        <v>685</v>
      </c>
    </row>
    <row r="31" spans="1:21">
      <c r="A31" s="2" t="s">
        <v>75</v>
      </c>
      <c r="B31" t="s">
        <v>66</v>
      </c>
      <c r="C31" t="s">
        <v>23</v>
      </c>
      <c r="D31" t="s">
        <v>67</v>
      </c>
      <c r="E31" t="s">
        <v>23</v>
      </c>
      <c r="G31" s="2"/>
      <c r="M31" t="s">
        <v>648</v>
      </c>
      <c r="N31" t="s">
        <v>649</v>
      </c>
      <c r="O31" t="s">
        <v>23</v>
      </c>
      <c r="P31">
        <v>0</v>
      </c>
      <c r="Q31" t="s">
        <v>24</v>
      </c>
      <c r="T31" t="s">
        <v>648</v>
      </c>
      <c r="U31" t="s">
        <v>649</v>
      </c>
    </row>
    <row r="32" spans="1:21">
      <c r="A32" s="2" t="s">
        <v>76</v>
      </c>
      <c r="B32" t="s">
        <v>66</v>
      </c>
      <c r="C32" t="s">
        <v>23</v>
      </c>
      <c r="D32" t="s">
        <v>67</v>
      </c>
      <c r="E32" t="s">
        <v>23</v>
      </c>
      <c r="G32" s="2"/>
      <c r="M32" t="s">
        <v>690</v>
      </c>
      <c r="N32" t="s">
        <v>688</v>
      </c>
      <c r="O32" t="s">
        <v>23</v>
      </c>
      <c r="P32">
        <v>0</v>
      </c>
      <c r="Q32" t="s">
        <v>24</v>
      </c>
      <c r="T32" t="s">
        <v>690</v>
      </c>
      <c r="U32" t="s">
        <v>688</v>
      </c>
    </row>
    <row r="33" spans="1:21">
      <c r="A33" s="2" t="s">
        <v>77</v>
      </c>
      <c r="B33" t="s">
        <v>66</v>
      </c>
      <c r="C33" t="s">
        <v>23</v>
      </c>
      <c r="D33" t="s">
        <v>67</v>
      </c>
      <c r="E33" t="s">
        <v>23</v>
      </c>
      <c r="M33" t="s">
        <v>660</v>
      </c>
      <c r="N33" t="s">
        <v>659</v>
      </c>
      <c r="O33" t="s">
        <v>23</v>
      </c>
      <c r="P33" t="s">
        <v>23</v>
      </c>
      <c r="Q33" t="s">
        <v>23</v>
      </c>
      <c r="T33" t="s">
        <v>660</v>
      </c>
      <c r="U33" t="s">
        <v>659</v>
      </c>
    </row>
    <row r="34" spans="1:21">
      <c r="A34" s="2" t="s">
        <v>78</v>
      </c>
      <c r="B34" t="s">
        <v>66</v>
      </c>
      <c r="C34" t="s">
        <v>23</v>
      </c>
      <c r="D34" t="s">
        <v>67</v>
      </c>
      <c r="E34" t="s">
        <v>23</v>
      </c>
      <c r="M34" t="s">
        <v>686</v>
      </c>
      <c r="N34" t="s">
        <v>685</v>
      </c>
      <c r="O34" t="s">
        <v>23</v>
      </c>
      <c r="P34" t="s">
        <v>23</v>
      </c>
      <c r="Q34" t="s">
        <v>23</v>
      </c>
      <c r="T34" t="s">
        <v>686</v>
      </c>
      <c r="U34" t="s">
        <v>685</v>
      </c>
    </row>
    <row r="35" spans="1:21">
      <c r="A35" s="2" t="s">
        <v>79</v>
      </c>
      <c r="B35" t="s">
        <v>66</v>
      </c>
      <c r="C35" t="s">
        <v>23</v>
      </c>
      <c r="D35" t="s">
        <v>67</v>
      </c>
      <c r="E35" t="s">
        <v>23</v>
      </c>
      <c r="M35" t="s">
        <v>691</v>
      </c>
      <c r="N35" t="s">
        <v>688</v>
      </c>
      <c r="O35" t="s">
        <v>23</v>
      </c>
      <c r="P35" t="s">
        <v>23</v>
      </c>
      <c r="Q35" t="s">
        <v>23</v>
      </c>
      <c r="T35" t="s">
        <v>691</v>
      </c>
      <c r="U35" t="s">
        <v>688</v>
      </c>
    </row>
    <row r="36" spans="1:21">
      <c r="A36" s="2" t="s">
        <v>80</v>
      </c>
      <c r="B36" t="s">
        <v>66</v>
      </c>
      <c r="C36" t="s">
        <v>23</v>
      </c>
      <c r="D36" t="s">
        <v>67</v>
      </c>
      <c r="E36" t="s">
        <v>23</v>
      </c>
      <c r="M36" t="s">
        <v>661</v>
      </c>
      <c r="N36" t="s">
        <v>659</v>
      </c>
      <c r="O36" t="s">
        <v>23</v>
      </c>
      <c r="P36" t="s">
        <v>23</v>
      </c>
      <c r="Q36" t="s">
        <v>23</v>
      </c>
      <c r="T36" t="s">
        <v>661</v>
      </c>
      <c r="U36" t="s">
        <v>659</v>
      </c>
    </row>
    <row r="37" spans="1:21">
      <c r="A37" s="2" t="s">
        <v>81</v>
      </c>
      <c r="B37" t="s">
        <v>66</v>
      </c>
      <c r="C37" t="s">
        <v>23</v>
      </c>
      <c r="D37" t="s">
        <v>67</v>
      </c>
      <c r="E37" t="s">
        <v>23</v>
      </c>
      <c r="M37" t="s">
        <v>45</v>
      </c>
      <c r="N37" t="s">
        <v>46</v>
      </c>
      <c r="O37" t="s">
        <v>23</v>
      </c>
      <c r="P37" t="s">
        <v>23</v>
      </c>
      <c r="Q37" t="s">
        <v>23</v>
      </c>
      <c r="T37" t="s">
        <v>45</v>
      </c>
      <c r="U37" t="s">
        <v>46</v>
      </c>
    </row>
    <row r="38" spans="1:21">
      <c r="A38" s="2" t="s">
        <v>82</v>
      </c>
      <c r="B38" t="s">
        <v>66</v>
      </c>
      <c r="C38" t="s">
        <v>23</v>
      </c>
      <c r="D38" t="s">
        <v>67</v>
      </c>
      <c r="E38" t="s">
        <v>23</v>
      </c>
      <c r="M38" t="s">
        <v>35</v>
      </c>
      <c r="N38" t="s">
        <v>36</v>
      </c>
      <c r="O38" t="s">
        <v>23</v>
      </c>
      <c r="P38" t="s">
        <v>23</v>
      </c>
      <c r="Q38" t="s">
        <v>23</v>
      </c>
      <c r="T38" t="s">
        <v>35</v>
      </c>
      <c r="U38" t="s">
        <v>36</v>
      </c>
    </row>
    <row r="39" spans="1:21">
      <c r="A39" s="2" t="s">
        <v>83</v>
      </c>
      <c r="B39" t="s">
        <v>66</v>
      </c>
      <c r="C39" t="s">
        <v>23</v>
      </c>
      <c r="D39" t="s">
        <v>67</v>
      </c>
      <c r="E39" t="s">
        <v>23</v>
      </c>
      <c r="M39" t="s">
        <v>650</v>
      </c>
      <c r="N39" t="s">
        <v>649</v>
      </c>
      <c r="O39" t="s">
        <v>23</v>
      </c>
      <c r="P39" t="s">
        <v>23</v>
      </c>
      <c r="Q39" t="s">
        <v>23</v>
      </c>
      <c r="T39" t="s">
        <v>650</v>
      </c>
      <c r="U39" t="s">
        <v>649</v>
      </c>
    </row>
    <row r="40" spans="1:21">
      <c r="A40" s="2" t="s">
        <v>84</v>
      </c>
      <c r="B40" t="s">
        <v>66</v>
      </c>
      <c r="C40" t="s">
        <v>23</v>
      </c>
      <c r="D40" t="s">
        <v>67</v>
      </c>
      <c r="E40" t="s">
        <v>23</v>
      </c>
      <c r="M40" t="s">
        <v>673</v>
      </c>
      <c r="N40" t="s">
        <v>672</v>
      </c>
      <c r="O40" t="s">
        <v>23</v>
      </c>
      <c r="P40" t="s">
        <v>23</v>
      </c>
      <c r="Q40" t="s">
        <v>23</v>
      </c>
      <c r="T40" t="s">
        <v>673</v>
      </c>
      <c r="U40" t="s">
        <v>672</v>
      </c>
    </row>
    <row r="41" spans="1:21">
      <c r="A41" s="2" t="s">
        <v>85</v>
      </c>
      <c r="B41" t="s">
        <v>66</v>
      </c>
      <c r="C41" t="s">
        <v>23</v>
      </c>
      <c r="D41" t="s">
        <v>67</v>
      </c>
      <c r="E41" t="s">
        <v>23</v>
      </c>
      <c r="M41" t="s">
        <v>662</v>
      </c>
      <c r="N41" t="s">
        <v>659</v>
      </c>
      <c r="O41" t="s">
        <v>23</v>
      </c>
      <c r="P41" t="s">
        <v>23</v>
      </c>
      <c r="Q41" t="s">
        <v>23</v>
      </c>
      <c r="T41" t="s">
        <v>662</v>
      </c>
      <c r="U41" t="s">
        <v>659</v>
      </c>
    </row>
    <row r="42" spans="1:21">
      <c r="A42" s="2" t="s">
        <v>86</v>
      </c>
      <c r="B42" t="s">
        <v>66</v>
      </c>
      <c r="C42" t="s">
        <v>23</v>
      </c>
      <c r="D42" t="s">
        <v>67</v>
      </c>
      <c r="E42" t="s">
        <v>23</v>
      </c>
      <c r="M42" t="s">
        <v>655</v>
      </c>
      <c r="N42" t="s">
        <v>656</v>
      </c>
      <c r="O42" t="s">
        <v>23</v>
      </c>
      <c r="P42" t="s">
        <v>23</v>
      </c>
      <c r="Q42" t="s">
        <v>23</v>
      </c>
      <c r="T42" t="s">
        <v>655</v>
      </c>
      <c r="U42" t="s">
        <v>656</v>
      </c>
    </row>
    <row r="43" spans="1:21">
      <c r="A43" s="2" t="s">
        <v>87</v>
      </c>
      <c r="B43" t="s">
        <v>66</v>
      </c>
      <c r="C43" t="s">
        <v>23</v>
      </c>
      <c r="D43" t="s">
        <v>67</v>
      </c>
      <c r="E43" t="s">
        <v>23</v>
      </c>
      <c r="M43" t="s">
        <v>617</v>
      </c>
      <c r="N43" t="s">
        <v>618</v>
      </c>
      <c r="O43" t="s">
        <v>23</v>
      </c>
      <c r="P43" t="s">
        <v>23</v>
      </c>
      <c r="Q43" t="s">
        <v>23</v>
      </c>
      <c r="T43" t="s">
        <v>617</v>
      </c>
      <c r="U43" t="s">
        <v>618</v>
      </c>
    </row>
    <row r="44" spans="1:21">
      <c r="A44" s="2" t="s">
        <v>88</v>
      </c>
      <c r="B44" t="s">
        <v>66</v>
      </c>
      <c r="C44" t="s">
        <v>23</v>
      </c>
      <c r="D44" t="s">
        <v>67</v>
      </c>
      <c r="E44" t="s">
        <v>23</v>
      </c>
      <c r="M44" t="s">
        <v>677</v>
      </c>
      <c r="N44" t="s">
        <v>678</v>
      </c>
      <c r="O44" t="s">
        <v>23</v>
      </c>
      <c r="P44" t="s">
        <v>23</v>
      </c>
      <c r="Q44" t="s">
        <v>23</v>
      </c>
      <c r="T44" t="s">
        <v>677</v>
      </c>
      <c r="U44" t="s">
        <v>678</v>
      </c>
    </row>
    <row r="45" spans="1:21">
      <c r="A45" s="2" t="s">
        <v>89</v>
      </c>
      <c r="B45" t="s">
        <v>66</v>
      </c>
      <c r="C45" t="s">
        <v>23</v>
      </c>
      <c r="D45" t="s">
        <v>67</v>
      </c>
      <c r="E45" t="s">
        <v>23</v>
      </c>
      <c r="M45" t="s">
        <v>669</v>
      </c>
      <c r="N45" t="s">
        <v>670</v>
      </c>
      <c r="O45" t="s">
        <v>23</v>
      </c>
      <c r="P45" t="s">
        <v>23</v>
      </c>
      <c r="Q45" t="s">
        <v>23</v>
      </c>
      <c r="T45" t="s">
        <v>669</v>
      </c>
      <c r="U45" t="s">
        <v>670</v>
      </c>
    </row>
    <row r="46" spans="1:21">
      <c r="A46" s="2" t="s">
        <v>90</v>
      </c>
      <c r="B46" t="s">
        <v>66</v>
      </c>
      <c r="C46" t="s">
        <v>23</v>
      </c>
      <c r="D46" t="s">
        <v>67</v>
      </c>
      <c r="E46" t="s">
        <v>23</v>
      </c>
      <c r="M46" t="s">
        <v>671</v>
      </c>
      <c r="N46" t="s">
        <v>672</v>
      </c>
      <c r="O46" t="s">
        <v>23</v>
      </c>
      <c r="P46" t="s">
        <v>23</v>
      </c>
      <c r="Q46" t="s">
        <v>23</v>
      </c>
      <c r="T46" t="s">
        <v>671</v>
      </c>
      <c r="U46" t="s">
        <v>672</v>
      </c>
    </row>
    <row r="47" spans="1:21">
      <c r="A47" s="2" t="s">
        <v>91</v>
      </c>
      <c r="B47" t="s">
        <v>66</v>
      </c>
      <c r="C47" t="s">
        <v>23</v>
      </c>
      <c r="D47" t="s">
        <v>67</v>
      </c>
      <c r="E47" t="s">
        <v>23</v>
      </c>
      <c r="M47" t="s">
        <v>657</v>
      </c>
      <c r="N47" t="s">
        <v>656</v>
      </c>
      <c r="O47" t="s">
        <v>23</v>
      </c>
      <c r="P47" t="s">
        <v>23</v>
      </c>
      <c r="Q47" t="s">
        <v>23</v>
      </c>
      <c r="T47" t="s">
        <v>657</v>
      </c>
      <c r="U47" t="s">
        <v>656</v>
      </c>
    </row>
    <row r="48" spans="1:21">
      <c r="A48" s="2" t="s">
        <v>92</v>
      </c>
      <c r="B48" t="s">
        <v>93</v>
      </c>
      <c r="C48" t="s">
        <v>23</v>
      </c>
      <c r="D48">
        <v>34</v>
      </c>
      <c r="E48" t="s">
        <v>94</v>
      </c>
      <c r="M48" t="s">
        <v>619</v>
      </c>
      <c r="N48" t="s">
        <v>618</v>
      </c>
      <c r="O48" t="s">
        <v>23</v>
      </c>
      <c r="P48">
        <v>0</v>
      </c>
      <c r="Q48" t="s">
        <v>23</v>
      </c>
      <c r="T48" t="s">
        <v>619</v>
      </c>
      <c r="U48" t="s">
        <v>618</v>
      </c>
    </row>
    <row r="49" spans="1:21">
      <c r="A49" s="2" t="s">
        <v>95</v>
      </c>
      <c r="B49" t="s">
        <v>96</v>
      </c>
      <c r="C49">
        <v>0</v>
      </c>
      <c r="D49">
        <v>34</v>
      </c>
      <c r="E49" t="s">
        <v>94</v>
      </c>
      <c r="M49" t="s">
        <v>651</v>
      </c>
      <c r="N49" t="s">
        <v>649</v>
      </c>
      <c r="O49" t="s">
        <v>23</v>
      </c>
      <c r="P49">
        <v>13</v>
      </c>
      <c r="Q49" t="s">
        <v>23</v>
      </c>
      <c r="T49" t="s">
        <v>651</v>
      </c>
      <c r="U49" t="s">
        <v>649</v>
      </c>
    </row>
    <row r="50" spans="1:21">
      <c r="A50" s="2" t="s">
        <v>97</v>
      </c>
      <c r="B50" t="s">
        <v>98</v>
      </c>
      <c r="C50">
        <v>0</v>
      </c>
      <c r="D50">
        <v>34</v>
      </c>
      <c r="E50" t="s">
        <v>94</v>
      </c>
      <c r="M50" t="s">
        <v>663</v>
      </c>
      <c r="N50" t="s">
        <v>659</v>
      </c>
      <c r="O50" t="s">
        <v>23</v>
      </c>
      <c r="P50">
        <v>13</v>
      </c>
      <c r="Q50" t="s">
        <v>23</v>
      </c>
      <c r="T50" t="s">
        <v>663</v>
      </c>
      <c r="U50" t="s">
        <v>659</v>
      </c>
    </row>
    <row r="51" spans="1:21">
      <c r="A51" s="2" t="s">
        <v>99</v>
      </c>
      <c r="B51" t="s">
        <v>100</v>
      </c>
      <c r="C51">
        <v>0</v>
      </c>
      <c r="D51">
        <v>34</v>
      </c>
      <c r="E51" t="s">
        <v>94</v>
      </c>
      <c r="M51" t="s">
        <v>674</v>
      </c>
      <c r="N51" t="s">
        <v>672</v>
      </c>
      <c r="O51" t="s">
        <v>23</v>
      </c>
      <c r="P51">
        <v>13</v>
      </c>
      <c r="Q51" t="s">
        <v>23</v>
      </c>
      <c r="T51" t="s">
        <v>674</v>
      </c>
      <c r="U51" t="s">
        <v>672</v>
      </c>
    </row>
    <row r="52" spans="1:21">
      <c r="A52" s="2" t="s">
        <v>101</v>
      </c>
      <c r="B52" t="s">
        <v>102</v>
      </c>
      <c r="C52">
        <v>0</v>
      </c>
      <c r="D52">
        <v>34</v>
      </c>
      <c r="E52" t="s">
        <v>94</v>
      </c>
      <c r="M52" t="s">
        <v>627</v>
      </c>
      <c r="N52" t="s">
        <v>628</v>
      </c>
      <c r="O52" t="s">
        <v>23</v>
      </c>
      <c r="P52">
        <v>13</v>
      </c>
      <c r="Q52" t="s">
        <v>23</v>
      </c>
      <c r="T52" t="s">
        <v>627</v>
      </c>
      <c r="U52" t="s">
        <v>628</v>
      </c>
    </row>
    <row r="53" spans="1:21">
      <c r="A53" s="2" t="s">
        <v>103</v>
      </c>
      <c r="B53" t="s">
        <v>104</v>
      </c>
      <c r="C53">
        <v>0</v>
      </c>
      <c r="D53">
        <v>34</v>
      </c>
      <c r="E53" t="s">
        <v>94</v>
      </c>
      <c r="M53" t="s">
        <v>620</v>
      </c>
      <c r="N53" t="s">
        <v>618</v>
      </c>
      <c r="O53" t="s">
        <v>23</v>
      </c>
      <c r="P53">
        <v>34</v>
      </c>
      <c r="Q53" t="s">
        <v>23</v>
      </c>
      <c r="T53" t="s">
        <v>620</v>
      </c>
      <c r="U53" t="s">
        <v>618</v>
      </c>
    </row>
    <row r="54" spans="1:21">
      <c r="A54" s="2" t="s">
        <v>105</v>
      </c>
      <c r="B54" t="s">
        <v>106</v>
      </c>
      <c r="C54">
        <v>0</v>
      </c>
      <c r="D54">
        <v>34</v>
      </c>
      <c r="E54" t="s">
        <v>94</v>
      </c>
      <c r="M54" t="s">
        <v>652</v>
      </c>
      <c r="N54" t="s">
        <v>649</v>
      </c>
      <c r="O54" t="s">
        <v>23</v>
      </c>
      <c r="P54">
        <v>34</v>
      </c>
      <c r="Q54" t="s">
        <v>23</v>
      </c>
      <c r="T54" t="s">
        <v>652</v>
      </c>
      <c r="U54" t="s">
        <v>649</v>
      </c>
    </row>
    <row r="55" spans="1:21">
      <c r="A55" s="2" t="s">
        <v>107</v>
      </c>
      <c r="B55" t="s">
        <v>108</v>
      </c>
      <c r="C55">
        <v>0</v>
      </c>
      <c r="D55">
        <v>34</v>
      </c>
      <c r="E55" t="s">
        <v>94</v>
      </c>
      <c r="M55" t="s">
        <v>679</v>
      </c>
      <c r="N55" t="s">
        <v>678</v>
      </c>
      <c r="O55" t="s">
        <v>23</v>
      </c>
      <c r="P55">
        <v>34</v>
      </c>
      <c r="Q55" t="s">
        <v>23</v>
      </c>
      <c r="T55" t="s">
        <v>679</v>
      </c>
      <c r="U55" t="s">
        <v>678</v>
      </c>
    </row>
    <row r="56" spans="1:21">
      <c r="A56" s="2" t="s">
        <v>109</v>
      </c>
      <c r="B56" t="s">
        <v>110</v>
      </c>
      <c r="C56">
        <v>0</v>
      </c>
      <c r="D56">
        <v>34</v>
      </c>
      <c r="E56" t="s">
        <v>94</v>
      </c>
      <c r="M56" t="s">
        <v>29</v>
      </c>
      <c r="N56" t="s">
        <v>30</v>
      </c>
      <c r="O56" t="s">
        <v>23</v>
      </c>
      <c r="P56">
        <v>34</v>
      </c>
      <c r="Q56" t="s">
        <v>23</v>
      </c>
      <c r="T56" t="s">
        <v>29</v>
      </c>
      <c r="U56" t="s">
        <v>30</v>
      </c>
    </row>
    <row r="57" spans="1:21">
      <c r="A57" s="2" t="s">
        <v>111</v>
      </c>
      <c r="B57" t="s">
        <v>112</v>
      </c>
      <c r="C57">
        <v>0</v>
      </c>
      <c r="D57">
        <v>34</v>
      </c>
      <c r="E57" t="s">
        <v>94</v>
      </c>
      <c r="M57" t="s">
        <v>621</v>
      </c>
      <c r="N57" t="s">
        <v>618</v>
      </c>
      <c r="O57" t="s">
        <v>23</v>
      </c>
      <c r="P57">
        <v>34</v>
      </c>
      <c r="Q57" t="s">
        <v>23</v>
      </c>
      <c r="T57" t="s">
        <v>621</v>
      </c>
      <c r="U57" t="s">
        <v>618</v>
      </c>
    </row>
    <row r="58" spans="1:21">
      <c r="A58" s="2" t="s">
        <v>113</v>
      </c>
      <c r="B58" t="s">
        <v>114</v>
      </c>
      <c r="C58">
        <v>0</v>
      </c>
      <c r="D58">
        <v>34</v>
      </c>
      <c r="E58" t="s">
        <v>94</v>
      </c>
      <c r="M58" t="s">
        <v>653</v>
      </c>
      <c r="N58" t="s">
        <v>649</v>
      </c>
      <c r="O58" t="s">
        <v>23</v>
      </c>
      <c r="P58">
        <v>34</v>
      </c>
      <c r="Q58" t="s">
        <v>23</v>
      </c>
      <c r="T58" t="s">
        <v>653</v>
      </c>
      <c r="U58" t="s">
        <v>649</v>
      </c>
    </row>
    <row r="59" spans="1:21">
      <c r="A59" s="2" t="s">
        <v>115</v>
      </c>
      <c r="B59" t="s">
        <v>116</v>
      </c>
      <c r="C59">
        <v>0</v>
      </c>
      <c r="D59">
        <v>34</v>
      </c>
      <c r="E59" t="s">
        <v>94</v>
      </c>
      <c r="M59" t="s">
        <v>634</v>
      </c>
      <c r="N59" t="s">
        <v>635</v>
      </c>
      <c r="O59" t="s">
        <v>23</v>
      </c>
      <c r="P59">
        <v>35</v>
      </c>
      <c r="Q59" t="s">
        <v>23</v>
      </c>
      <c r="T59" t="s">
        <v>634</v>
      </c>
      <c r="U59" t="s">
        <v>635</v>
      </c>
    </row>
    <row r="60" spans="1:21">
      <c r="A60" s="2" t="s">
        <v>117</v>
      </c>
      <c r="B60" t="s">
        <v>118</v>
      </c>
      <c r="C60">
        <v>0</v>
      </c>
      <c r="D60">
        <v>34</v>
      </c>
      <c r="E60" t="s">
        <v>94</v>
      </c>
      <c r="M60" t="s">
        <v>675</v>
      </c>
      <c r="N60" t="s">
        <v>672</v>
      </c>
      <c r="O60" t="s">
        <v>23</v>
      </c>
      <c r="P60">
        <v>35</v>
      </c>
      <c r="Q60" t="s">
        <v>23</v>
      </c>
      <c r="T60" t="s">
        <v>675</v>
      </c>
      <c r="U60" t="s">
        <v>672</v>
      </c>
    </row>
    <row r="61" spans="1:21">
      <c r="A61" s="2" t="s">
        <v>119</v>
      </c>
      <c r="B61" t="s">
        <v>120</v>
      </c>
      <c r="C61">
        <v>1</v>
      </c>
      <c r="D61">
        <v>34</v>
      </c>
      <c r="E61" t="s">
        <v>94</v>
      </c>
      <c r="M61" t="s">
        <v>629</v>
      </c>
      <c r="N61" t="s">
        <v>628</v>
      </c>
      <c r="O61" t="s">
        <v>23</v>
      </c>
      <c r="P61">
        <v>35</v>
      </c>
      <c r="Q61" t="s">
        <v>23</v>
      </c>
      <c r="T61" t="s">
        <v>629</v>
      </c>
      <c r="U61" t="s">
        <v>628</v>
      </c>
    </row>
    <row r="62" spans="1:21">
      <c r="A62" s="2" t="s">
        <v>121</v>
      </c>
      <c r="B62" t="s">
        <v>122</v>
      </c>
      <c r="C62">
        <v>1</v>
      </c>
      <c r="D62">
        <v>34</v>
      </c>
      <c r="E62" t="s">
        <v>94</v>
      </c>
      <c r="M62" t="s">
        <v>622</v>
      </c>
      <c r="N62" t="s">
        <v>618</v>
      </c>
      <c r="O62" t="s">
        <v>23</v>
      </c>
      <c r="P62">
        <v>35</v>
      </c>
      <c r="Q62" t="s">
        <v>23</v>
      </c>
      <c r="T62" t="s">
        <v>622</v>
      </c>
      <c r="U62" t="s">
        <v>618</v>
      </c>
    </row>
    <row r="63" spans="1:21">
      <c r="A63" s="2" t="s">
        <v>123</v>
      </c>
      <c r="B63" t="s">
        <v>124</v>
      </c>
      <c r="C63">
        <v>1</v>
      </c>
      <c r="D63">
        <v>34</v>
      </c>
      <c r="E63" t="s">
        <v>94</v>
      </c>
      <c r="M63" t="s">
        <v>664</v>
      </c>
      <c r="N63" t="s">
        <v>659</v>
      </c>
      <c r="O63" t="s">
        <v>23</v>
      </c>
      <c r="P63">
        <v>35</v>
      </c>
      <c r="Q63" t="s">
        <v>23</v>
      </c>
      <c r="T63" t="s">
        <v>664</v>
      </c>
      <c r="U63" t="s">
        <v>659</v>
      </c>
    </row>
    <row r="64" spans="1:21">
      <c r="A64" s="2" t="s">
        <v>125</v>
      </c>
      <c r="B64" t="s">
        <v>126</v>
      </c>
      <c r="C64">
        <v>1</v>
      </c>
      <c r="D64">
        <v>34</v>
      </c>
      <c r="E64" t="s">
        <v>94</v>
      </c>
      <c r="M64" t="s">
        <v>680</v>
      </c>
      <c r="N64" t="s">
        <v>678</v>
      </c>
      <c r="O64" t="s">
        <v>23</v>
      </c>
      <c r="P64">
        <v>35</v>
      </c>
      <c r="Q64" t="s">
        <v>23</v>
      </c>
      <c r="T64" t="s">
        <v>680</v>
      </c>
      <c r="U64" t="s">
        <v>678</v>
      </c>
    </row>
    <row r="65" spans="1:21">
      <c r="A65" s="2" t="s">
        <v>127</v>
      </c>
      <c r="B65" t="s">
        <v>128</v>
      </c>
      <c r="C65">
        <v>1</v>
      </c>
      <c r="D65">
        <v>34</v>
      </c>
      <c r="E65" t="s">
        <v>94</v>
      </c>
      <c r="M65" t="s">
        <v>623</v>
      </c>
      <c r="N65" t="s">
        <v>618</v>
      </c>
      <c r="O65" t="s">
        <v>23</v>
      </c>
      <c r="P65" t="s">
        <v>23</v>
      </c>
      <c r="Q65" t="s">
        <v>23</v>
      </c>
      <c r="T65" t="s">
        <v>623</v>
      </c>
      <c r="U65" t="s">
        <v>618</v>
      </c>
    </row>
    <row r="66" spans="1:21">
      <c r="A66" s="2" t="s">
        <v>129</v>
      </c>
      <c r="B66" t="s">
        <v>130</v>
      </c>
      <c r="C66">
        <v>1</v>
      </c>
      <c r="D66">
        <v>34</v>
      </c>
      <c r="E66" t="s">
        <v>94</v>
      </c>
      <c r="M66" t="s">
        <v>654</v>
      </c>
      <c r="N66" t="s">
        <v>649</v>
      </c>
      <c r="O66" t="s">
        <v>23</v>
      </c>
      <c r="P66" t="s">
        <v>23</v>
      </c>
      <c r="Q66" t="s">
        <v>23</v>
      </c>
      <c r="T66" t="s">
        <v>654</v>
      </c>
      <c r="U66" t="s">
        <v>649</v>
      </c>
    </row>
    <row r="67" spans="1:21">
      <c r="A67" s="2" t="s">
        <v>131</v>
      </c>
      <c r="B67" t="s">
        <v>132</v>
      </c>
      <c r="C67">
        <v>1</v>
      </c>
      <c r="D67">
        <v>34</v>
      </c>
      <c r="E67" t="s">
        <v>94</v>
      </c>
      <c r="M67" t="s">
        <v>676</v>
      </c>
      <c r="N67" t="s">
        <v>672</v>
      </c>
      <c r="O67" t="s">
        <v>23</v>
      </c>
      <c r="P67">
        <v>502</v>
      </c>
      <c r="Q67" t="s">
        <v>23</v>
      </c>
      <c r="T67" t="s">
        <v>676</v>
      </c>
      <c r="U67" t="s">
        <v>672</v>
      </c>
    </row>
    <row r="68" spans="1:21">
      <c r="A68" s="2" t="s">
        <v>133</v>
      </c>
      <c r="B68" t="s">
        <v>134</v>
      </c>
      <c r="C68">
        <v>1</v>
      </c>
      <c r="D68">
        <v>34</v>
      </c>
      <c r="E68" t="s">
        <v>94</v>
      </c>
      <c r="M68" t="s">
        <v>633</v>
      </c>
      <c r="N68" t="s">
        <v>628</v>
      </c>
      <c r="O68" t="s">
        <v>23</v>
      </c>
      <c r="P68">
        <v>502</v>
      </c>
      <c r="Q68" t="s">
        <v>23</v>
      </c>
      <c r="T68" t="s">
        <v>633</v>
      </c>
      <c r="U68" t="s">
        <v>628</v>
      </c>
    </row>
    <row r="69" spans="1:21">
      <c r="A69" s="2" t="s">
        <v>135</v>
      </c>
      <c r="B69" t="s">
        <v>136</v>
      </c>
      <c r="C69">
        <v>1</v>
      </c>
      <c r="D69">
        <v>34</v>
      </c>
      <c r="E69" t="s">
        <v>94</v>
      </c>
      <c r="M69" t="s">
        <v>624</v>
      </c>
      <c r="N69" t="s">
        <v>618</v>
      </c>
      <c r="O69" t="s">
        <v>23</v>
      </c>
      <c r="P69">
        <v>502</v>
      </c>
      <c r="Q69" t="s">
        <v>23</v>
      </c>
      <c r="T69" t="s">
        <v>624</v>
      </c>
      <c r="U69" t="s">
        <v>618</v>
      </c>
    </row>
    <row r="70" spans="1:21">
      <c r="A70" s="2" t="s">
        <v>137</v>
      </c>
      <c r="B70" t="s">
        <v>138</v>
      </c>
      <c r="C70">
        <v>1</v>
      </c>
      <c r="D70">
        <v>34</v>
      </c>
      <c r="E70" t="s">
        <v>94</v>
      </c>
      <c r="M70" t="s">
        <v>641</v>
      </c>
      <c r="N70" t="s">
        <v>642</v>
      </c>
      <c r="O70" t="s">
        <v>23</v>
      </c>
      <c r="P70">
        <v>502</v>
      </c>
      <c r="Q70" t="s">
        <v>23</v>
      </c>
      <c r="T70" t="s">
        <v>641</v>
      </c>
      <c r="U70" t="s">
        <v>642</v>
      </c>
    </row>
    <row r="71" spans="1:21">
      <c r="A71" s="2" t="s">
        <v>139</v>
      </c>
      <c r="B71" t="s">
        <v>140</v>
      </c>
      <c r="C71">
        <v>1</v>
      </c>
      <c r="D71">
        <v>34</v>
      </c>
      <c r="E71" t="s">
        <v>94</v>
      </c>
      <c r="M71" t="s">
        <v>47</v>
      </c>
      <c r="N71" t="s">
        <v>48</v>
      </c>
      <c r="O71" t="s">
        <v>23</v>
      </c>
      <c r="P71">
        <v>502</v>
      </c>
      <c r="Q71" t="s">
        <v>23</v>
      </c>
      <c r="T71" t="s">
        <v>47</v>
      </c>
      <c r="U71" t="s">
        <v>48</v>
      </c>
    </row>
    <row r="72" spans="1:21">
      <c r="A72" s="2" t="s">
        <v>141</v>
      </c>
      <c r="B72" t="s">
        <v>142</v>
      </c>
      <c r="C72">
        <v>1</v>
      </c>
      <c r="D72">
        <v>34</v>
      </c>
      <c r="E72" t="s">
        <v>94</v>
      </c>
      <c r="M72" t="s">
        <v>681</v>
      </c>
      <c r="N72" t="s">
        <v>678</v>
      </c>
      <c r="O72" t="s">
        <v>23</v>
      </c>
      <c r="P72">
        <v>502</v>
      </c>
      <c r="Q72" t="s">
        <v>23</v>
      </c>
      <c r="T72" t="s">
        <v>681</v>
      </c>
      <c r="U72" t="s">
        <v>678</v>
      </c>
    </row>
    <row r="73" spans="1:21">
      <c r="A73" s="2" t="s">
        <v>143</v>
      </c>
      <c r="B73" t="s">
        <v>144</v>
      </c>
      <c r="C73">
        <v>2</v>
      </c>
      <c r="D73">
        <v>34</v>
      </c>
      <c r="E73" t="s">
        <v>94</v>
      </c>
      <c r="M73" t="s">
        <v>630</v>
      </c>
      <c r="N73" t="s">
        <v>628</v>
      </c>
      <c r="O73" t="s">
        <v>23</v>
      </c>
      <c r="P73">
        <v>502</v>
      </c>
      <c r="Q73" t="s">
        <v>23</v>
      </c>
      <c r="T73" t="s">
        <v>630</v>
      </c>
      <c r="U73" t="s">
        <v>628</v>
      </c>
    </row>
    <row r="74" spans="1:21">
      <c r="A74" s="2" t="s">
        <v>145</v>
      </c>
      <c r="B74" t="s">
        <v>146</v>
      </c>
      <c r="C74">
        <v>2</v>
      </c>
      <c r="D74">
        <v>34</v>
      </c>
      <c r="E74" t="s">
        <v>94</v>
      </c>
      <c r="M74" t="s">
        <v>631</v>
      </c>
      <c r="N74" t="s">
        <v>628</v>
      </c>
      <c r="O74" t="s">
        <v>23</v>
      </c>
      <c r="P74">
        <v>502</v>
      </c>
      <c r="Q74" t="s">
        <v>23</v>
      </c>
      <c r="T74" t="s">
        <v>631</v>
      </c>
      <c r="U74" t="s">
        <v>628</v>
      </c>
    </row>
    <row r="75" spans="1:21">
      <c r="A75" s="2" t="s">
        <v>147</v>
      </c>
      <c r="B75" t="s">
        <v>148</v>
      </c>
      <c r="C75">
        <v>2</v>
      </c>
      <c r="D75">
        <v>34</v>
      </c>
      <c r="E75" t="s">
        <v>94</v>
      </c>
      <c r="M75" t="s">
        <v>625</v>
      </c>
      <c r="N75" t="s">
        <v>618</v>
      </c>
      <c r="O75" t="s">
        <v>23</v>
      </c>
      <c r="P75">
        <v>502</v>
      </c>
      <c r="Q75" t="s">
        <v>23</v>
      </c>
      <c r="T75" t="s">
        <v>625</v>
      </c>
      <c r="U75" t="s">
        <v>618</v>
      </c>
    </row>
    <row r="76" spans="1:21">
      <c r="A76" s="2" t="s">
        <v>149</v>
      </c>
      <c r="B76" t="s">
        <v>150</v>
      </c>
      <c r="C76">
        <v>2</v>
      </c>
      <c r="D76">
        <v>34</v>
      </c>
      <c r="E76" t="s">
        <v>94</v>
      </c>
      <c r="M76" t="s">
        <v>665</v>
      </c>
      <c r="N76" t="s">
        <v>659</v>
      </c>
      <c r="O76" t="s">
        <v>23</v>
      </c>
      <c r="P76">
        <v>502</v>
      </c>
      <c r="Q76" t="s">
        <v>23</v>
      </c>
      <c r="T76" t="s">
        <v>665</v>
      </c>
      <c r="U76" t="s">
        <v>659</v>
      </c>
    </row>
    <row r="77" spans="1:21">
      <c r="A77" s="2" t="s">
        <v>151</v>
      </c>
      <c r="B77" t="s">
        <v>152</v>
      </c>
      <c r="C77">
        <v>2</v>
      </c>
      <c r="D77">
        <v>34</v>
      </c>
      <c r="E77" t="s">
        <v>94</v>
      </c>
      <c r="M77" t="s">
        <v>682</v>
      </c>
      <c r="N77" t="s">
        <v>678</v>
      </c>
      <c r="O77" t="s">
        <v>23</v>
      </c>
      <c r="P77" t="s">
        <v>23</v>
      </c>
      <c r="Q77" t="s">
        <v>23</v>
      </c>
      <c r="T77" t="s">
        <v>682</v>
      </c>
      <c r="U77" t="s">
        <v>678</v>
      </c>
    </row>
    <row r="78" spans="1:21">
      <c r="A78" s="2" t="s">
        <v>153</v>
      </c>
      <c r="B78" t="s">
        <v>154</v>
      </c>
      <c r="C78">
        <v>2</v>
      </c>
      <c r="D78">
        <v>34</v>
      </c>
      <c r="E78" t="s">
        <v>94</v>
      </c>
      <c r="M78" t="s">
        <v>626</v>
      </c>
      <c r="N78" t="s">
        <v>618</v>
      </c>
      <c r="O78" t="s">
        <v>23</v>
      </c>
      <c r="P78" t="s">
        <v>23</v>
      </c>
      <c r="Q78" t="s">
        <v>23</v>
      </c>
      <c r="T78" t="s">
        <v>626</v>
      </c>
      <c r="U78" t="s">
        <v>618</v>
      </c>
    </row>
    <row r="79" spans="1:21">
      <c r="A79" s="2" t="s">
        <v>155</v>
      </c>
      <c r="B79" t="s">
        <v>156</v>
      </c>
      <c r="C79">
        <v>2</v>
      </c>
      <c r="D79">
        <v>34</v>
      </c>
      <c r="E79" t="s">
        <v>94</v>
      </c>
      <c r="M79" t="s">
        <v>643</v>
      </c>
      <c r="N79" t="s">
        <v>642</v>
      </c>
      <c r="O79" t="s">
        <v>23</v>
      </c>
      <c r="P79" t="s">
        <v>23</v>
      </c>
      <c r="Q79" t="s">
        <v>23</v>
      </c>
      <c r="T79" t="s">
        <v>643</v>
      </c>
      <c r="U79" t="s">
        <v>642</v>
      </c>
    </row>
    <row r="80" spans="1:21">
      <c r="A80" s="2" t="s">
        <v>157</v>
      </c>
      <c r="B80" t="s">
        <v>158</v>
      </c>
      <c r="C80">
        <v>2</v>
      </c>
      <c r="D80">
        <v>34</v>
      </c>
      <c r="E80" t="s">
        <v>94</v>
      </c>
      <c r="M80" t="s">
        <v>666</v>
      </c>
      <c r="N80" t="s">
        <v>659</v>
      </c>
      <c r="O80" t="s">
        <v>23</v>
      </c>
      <c r="P80" t="s">
        <v>23</v>
      </c>
      <c r="Q80" t="s">
        <v>23</v>
      </c>
      <c r="T80" t="s">
        <v>666</v>
      </c>
      <c r="U80" t="s">
        <v>659</v>
      </c>
    </row>
    <row r="81" spans="1:21">
      <c r="A81" s="2" t="s">
        <v>159</v>
      </c>
      <c r="B81" t="s">
        <v>160</v>
      </c>
      <c r="C81">
        <v>2</v>
      </c>
      <c r="D81">
        <v>34</v>
      </c>
      <c r="E81" t="s">
        <v>94</v>
      </c>
      <c r="M81" t="s">
        <v>49</v>
      </c>
      <c r="N81" t="s">
        <v>50</v>
      </c>
      <c r="O81" t="s">
        <v>23</v>
      </c>
      <c r="P81" t="s">
        <v>23</v>
      </c>
      <c r="Q81" t="s">
        <v>23</v>
      </c>
      <c r="T81" t="s">
        <v>49</v>
      </c>
      <c r="U81" t="s">
        <v>50</v>
      </c>
    </row>
    <row r="82" spans="1:21">
      <c r="A82" s="2" t="s">
        <v>161</v>
      </c>
      <c r="B82" t="s">
        <v>162</v>
      </c>
      <c r="C82">
        <v>2</v>
      </c>
      <c r="D82">
        <v>34</v>
      </c>
      <c r="E82" t="s">
        <v>94</v>
      </c>
      <c r="M82" t="s">
        <v>683</v>
      </c>
      <c r="N82" t="s">
        <v>678</v>
      </c>
      <c r="O82" t="s">
        <v>23</v>
      </c>
      <c r="P82" t="s">
        <v>23</v>
      </c>
      <c r="Q82" t="s">
        <v>23</v>
      </c>
      <c r="T82" t="s">
        <v>683</v>
      </c>
      <c r="U82" t="s">
        <v>678</v>
      </c>
    </row>
    <row r="83" spans="1:21">
      <c r="A83" s="2" t="s">
        <v>163</v>
      </c>
      <c r="B83" t="s">
        <v>164</v>
      </c>
      <c r="C83">
        <v>2</v>
      </c>
      <c r="D83">
        <v>34</v>
      </c>
      <c r="E83" t="s">
        <v>94</v>
      </c>
      <c r="M83" t="s">
        <v>632</v>
      </c>
      <c r="N83" t="s">
        <v>628</v>
      </c>
      <c r="O83" t="s">
        <v>23</v>
      </c>
      <c r="P83" t="s">
        <v>23</v>
      </c>
      <c r="Q83" t="s">
        <v>23</v>
      </c>
      <c r="T83" t="s">
        <v>632</v>
      </c>
      <c r="U83" t="s">
        <v>628</v>
      </c>
    </row>
    <row r="84" spans="1:21">
      <c r="A84" s="2" t="s">
        <v>165</v>
      </c>
      <c r="B84" t="s">
        <v>166</v>
      </c>
      <c r="C84">
        <v>2</v>
      </c>
      <c r="D84">
        <v>34</v>
      </c>
      <c r="E84" t="s">
        <v>94</v>
      </c>
      <c r="M84" t="s">
        <v>644</v>
      </c>
      <c r="N84" t="s">
        <v>642</v>
      </c>
      <c r="O84" t="s">
        <v>23</v>
      </c>
      <c r="P84" t="s">
        <v>23</v>
      </c>
      <c r="Q84" t="s">
        <v>23</v>
      </c>
      <c r="T84" t="s">
        <v>644</v>
      </c>
      <c r="U84" t="s">
        <v>642</v>
      </c>
    </row>
    <row r="85" spans="1:21">
      <c r="A85" s="2" t="s">
        <v>167</v>
      </c>
      <c r="B85" t="s">
        <v>168</v>
      </c>
      <c r="C85">
        <v>3</v>
      </c>
      <c r="D85">
        <v>34</v>
      </c>
      <c r="E85" t="s">
        <v>94</v>
      </c>
      <c r="M85" t="s">
        <v>57</v>
      </c>
      <c r="N85" t="s">
        <v>58</v>
      </c>
      <c r="O85" t="s">
        <v>23</v>
      </c>
      <c r="P85" t="s">
        <v>23</v>
      </c>
      <c r="Q85" t="s">
        <v>23</v>
      </c>
      <c r="T85" t="s">
        <v>57</v>
      </c>
      <c r="U85" t="s">
        <v>58</v>
      </c>
    </row>
    <row r="86" spans="1:21">
      <c r="A86" s="2" t="s">
        <v>169</v>
      </c>
      <c r="B86" t="s">
        <v>170</v>
      </c>
      <c r="C86">
        <v>3</v>
      </c>
      <c r="D86">
        <v>34</v>
      </c>
      <c r="E86" t="s">
        <v>94</v>
      </c>
      <c r="M86" t="s">
        <v>636</v>
      </c>
      <c r="N86" t="s">
        <v>637</v>
      </c>
      <c r="O86" t="s">
        <v>23</v>
      </c>
      <c r="P86" t="s">
        <v>23</v>
      </c>
      <c r="Q86" t="s">
        <v>23</v>
      </c>
      <c r="T86" t="s">
        <v>636</v>
      </c>
      <c r="U86" t="s">
        <v>637</v>
      </c>
    </row>
    <row r="87" spans="1:21">
      <c r="A87" s="2" t="s">
        <v>171</v>
      </c>
      <c r="B87" t="s">
        <v>172</v>
      </c>
      <c r="C87">
        <v>3</v>
      </c>
      <c r="D87">
        <v>34</v>
      </c>
      <c r="E87" t="s">
        <v>94</v>
      </c>
      <c r="M87" t="s">
        <v>667</v>
      </c>
      <c r="N87" t="s">
        <v>659</v>
      </c>
      <c r="O87" t="s">
        <v>23</v>
      </c>
      <c r="P87" t="s">
        <v>23</v>
      </c>
      <c r="Q87" t="s">
        <v>23</v>
      </c>
      <c r="T87" t="s">
        <v>667</v>
      </c>
      <c r="U87" t="s">
        <v>659</v>
      </c>
    </row>
    <row r="88" spans="1:21">
      <c r="A88" s="2" t="s">
        <v>173</v>
      </c>
      <c r="B88" t="s">
        <v>174</v>
      </c>
      <c r="C88">
        <v>3</v>
      </c>
      <c r="D88">
        <v>34</v>
      </c>
      <c r="E88" t="s">
        <v>94</v>
      </c>
      <c r="M88" t="s">
        <v>638</v>
      </c>
      <c r="N88" t="s">
        <v>637</v>
      </c>
      <c r="O88" t="s">
        <v>23</v>
      </c>
      <c r="P88" t="s">
        <v>23</v>
      </c>
      <c r="Q88" t="s">
        <v>23</v>
      </c>
      <c r="T88" t="s">
        <v>638</v>
      </c>
      <c r="U88" t="s">
        <v>637</v>
      </c>
    </row>
    <row r="89" spans="1:21">
      <c r="A89" s="2" t="s">
        <v>175</v>
      </c>
      <c r="B89" t="s">
        <v>176</v>
      </c>
      <c r="C89">
        <v>3</v>
      </c>
      <c r="D89">
        <v>34</v>
      </c>
      <c r="E89" t="s">
        <v>94</v>
      </c>
      <c r="M89" t="s">
        <v>645</v>
      </c>
      <c r="N89" t="s">
        <v>642</v>
      </c>
      <c r="O89" t="s">
        <v>23</v>
      </c>
      <c r="P89">
        <v>500</v>
      </c>
      <c r="Q89" t="s">
        <v>23</v>
      </c>
      <c r="T89" t="s">
        <v>645</v>
      </c>
      <c r="U89" t="s">
        <v>642</v>
      </c>
    </row>
    <row r="90" spans="1:21">
      <c r="A90" s="2" t="s">
        <v>177</v>
      </c>
      <c r="B90" t="s">
        <v>178</v>
      </c>
      <c r="C90">
        <v>3</v>
      </c>
      <c r="D90">
        <v>34</v>
      </c>
      <c r="E90" t="s">
        <v>94</v>
      </c>
      <c r="M90" t="s">
        <v>668</v>
      </c>
      <c r="N90" t="s">
        <v>659</v>
      </c>
      <c r="O90" t="s">
        <v>23</v>
      </c>
      <c r="P90">
        <v>500</v>
      </c>
      <c r="Q90" t="s">
        <v>23</v>
      </c>
      <c r="T90" t="s">
        <v>668</v>
      </c>
      <c r="U90" t="s">
        <v>659</v>
      </c>
    </row>
    <row r="91" spans="1:21">
      <c r="A91" s="2" t="s">
        <v>179</v>
      </c>
      <c r="B91" t="s">
        <v>180</v>
      </c>
      <c r="C91">
        <v>3</v>
      </c>
      <c r="D91">
        <v>34</v>
      </c>
      <c r="E91" t="s">
        <v>94</v>
      </c>
      <c r="M91" t="s">
        <v>646</v>
      </c>
      <c r="N91" t="s">
        <v>642</v>
      </c>
      <c r="O91" t="s">
        <v>23</v>
      </c>
      <c r="P91">
        <v>501</v>
      </c>
      <c r="Q91" t="s">
        <v>23</v>
      </c>
      <c r="T91" t="s">
        <v>646</v>
      </c>
      <c r="U91" t="s">
        <v>642</v>
      </c>
    </row>
    <row r="92" spans="1:21">
      <c r="A92" s="2" t="s">
        <v>181</v>
      </c>
      <c r="B92" t="s">
        <v>182</v>
      </c>
      <c r="C92">
        <v>3</v>
      </c>
      <c r="D92">
        <v>34</v>
      </c>
      <c r="E92" t="s">
        <v>94</v>
      </c>
      <c r="M92" t="s">
        <v>639</v>
      </c>
      <c r="N92" t="s">
        <v>637</v>
      </c>
      <c r="O92" t="s">
        <v>23</v>
      </c>
      <c r="P92">
        <v>501</v>
      </c>
      <c r="Q92" t="s">
        <v>23</v>
      </c>
      <c r="T92" t="s">
        <v>639</v>
      </c>
      <c r="U92" t="s">
        <v>637</v>
      </c>
    </row>
    <row r="93" spans="1:21">
      <c r="A93" s="2" t="s">
        <v>183</v>
      </c>
      <c r="B93" t="s">
        <v>184</v>
      </c>
      <c r="C93">
        <v>3</v>
      </c>
      <c r="D93">
        <v>34</v>
      </c>
      <c r="E93" t="s">
        <v>94</v>
      </c>
      <c r="M93" t="s">
        <v>640</v>
      </c>
      <c r="N93" t="s">
        <v>637</v>
      </c>
      <c r="O93" t="s">
        <v>23</v>
      </c>
      <c r="P93">
        <v>501</v>
      </c>
      <c r="Q93" t="s">
        <v>23</v>
      </c>
      <c r="T93" t="s">
        <v>640</v>
      </c>
      <c r="U93" t="s">
        <v>637</v>
      </c>
    </row>
    <row r="94" spans="1:21">
      <c r="A94" s="2" t="s">
        <v>185</v>
      </c>
      <c r="B94" t="s">
        <v>186</v>
      </c>
      <c r="C94">
        <v>3</v>
      </c>
      <c r="D94">
        <v>34</v>
      </c>
      <c r="E94" t="s">
        <v>94</v>
      </c>
      <c r="M94" t="s">
        <v>647</v>
      </c>
      <c r="N94" t="s">
        <v>642</v>
      </c>
      <c r="O94" t="s">
        <v>23</v>
      </c>
      <c r="P94">
        <v>501</v>
      </c>
      <c r="Q94" t="s">
        <v>23</v>
      </c>
      <c r="T94" t="s">
        <v>647</v>
      </c>
      <c r="U94" t="s">
        <v>642</v>
      </c>
    </row>
    <row r="95" spans="1:21">
      <c r="A95" s="2" t="s">
        <v>187</v>
      </c>
      <c r="B95" t="s">
        <v>188</v>
      </c>
      <c r="C95">
        <v>3</v>
      </c>
      <c r="D95">
        <v>34</v>
      </c>
      <c r="E95" t="s">
        <v>94</v>
      </c>
    </row>
    <row r="96" spans="1:21">
      <c r="A96" s="2" t="s">
        <v>189</v>
      </c>
      <c r="B96" t="s">
        <v>190</v>
      </c>
      <c r="C96">
        <v>3</v>
      </c>
      <c r="D96">
        <v>34</v>
      </c>
      <c r="E96" t="s">
        <v>94</v>
      </c>
    </row>
    <row r="97" spans="1:17">
      <c r="A97" s="2" t="s">
        <v>191</v>
      </c>
      <c r="B97" t="s">
        <v>192</v>
      </c>
      <c r="C97" t="s">
        <v>23</v>
      </c>
      <c r="D97">
        <v>34</v>
      </c>
      <c r="E97" t="s">
        <v>94</v>
      </c>
    </row>
    <row r="98" spans="1:17">
      <c r="A98" s="2" t="s">
        <v>193</v>
      </c>
      <c r="B98" t="s">
        <v>194</v>
      </c>
      <c r="C98" t="s">
        <v>23</v>
      </c>
      <c r="D98">
        <v>35</v>
      </c>
      <c r="E98" t="s">
        <v>94</v>
      </c>
    </row>
    <row r="99" spans="1:17">
      <c r="A99" s="2" t="s">
        <v>195</v>
      </c>
      <c r="B99" t="s">
        <v>196</v>
      </c>
      <c r="C99">
        <v>0</v>
      </c>
      <c r="D99">
        <v>35</v>
      </c>
      <c r="E99" t="s">
        <v>94</v>
      </c>
      <c r="J99" t="s">
        <v>708</v>
      </c>
      <c r="K99" t="s">
        <v>558</v>
      </c>
      <c r="M99" t="s">
        <v>27</v>
      </c>
      <c r="N99" t="s">
        <v>28</v>
      </c>
      <c r="O99" t="s">
        <v>23</v>
      </c>
      <c r="P99">
        <v>0</v>
      </c>
      <c r="Q99" t="s">
        <v>24</v>
      </c>
    </row>
    <row r="100" spans="1:17">
      <c r="A100" s="2" t="s">
        <v>197</v>
      </c>
      <c r="B100" t="s">
        <v>198</v>
      </c>
      <c r="C100">
        <v>0</v>
      </c>
      <c r="D100">
        <v>35</v>
      </c>
      <c r="E100" t="s">
        <v>94</v>
      </c>
      <c r="M100" s="2" t="s">
        <v>557</v>
      </c>
      <c r="N100" s="6" t="s">
        <v>558</v>
      </c>
      <c r="O100" t="s">
        <v>23</v>
      </c>
      <c r="P100" t="s">
        <v>23</v>
      </c>
      <c r="Q100" t="s">
        <v>23</v>
      </c>
    </row>
    <row r="101" spans="1:17">
      <c r="A101" s="2" t="s">
        <v>199</v>
      </c>
      <c r="B101" t="s">
        <v>200</v>
      </c>
      <c r="C101">
        <v>0</v>
      </c>
      <c r="D101">
        <v>35</v>
      </c>
      <c r="E101" t="s">
        <v>94</v>
      </c>
      <c r="M101" s="2" t="s">
        <v>559</v>
      </c>
      <c r="N101" s="6" t="s">
        <v>558</v>
      </c>
      <c r="O101" t="s">
        <v>23</v>
      </c>
      <c r="P101" t="s">
        <v>23</v>
      </c>
      <c r="Q101" t="s">
        <v>23</v>
      </c>
    </row>
    <row r="102" spans="1:17">
      <c r="A102" s="2" t="s">
        <v>201</v>
      </c>
      <c r="B102" t="s">
        <v>202</v>
      </c>
      <c r="C102">
        <v>0</v>
      </c>
      <c r="D102">
        <v>35</v>
      </c>
      <c r="E102" t="s">
        <v>94</v>
      </c>
      <c r="M102" s="2" t="s">
        <v>560</v>
      </c>
      <c r="N102" s="6" t="s">
        <v>558</v>
      </c>
      <c r="O102" t="s">
        <v>23</v>
      </c>
      <c r="P102" t="s">
        <v>23</v>
      </c>
      <c r="Q102" t="s">
        <v>23</v>
      </c>
    </row>
    <row r="103" spans="1:17">
      <c r="A103" s="2" t="s">
        <v>203</v>
      </c>
      <c r="B103" t="s">
        <v>204</v>
      </c>
      <c r="C103">
        <v>0</v>
      </c>
      <c r="D103">
        <v>35</v>
      </c>
      <c r="E103" t="s">
        <v>94</v>
      </c>
      <c r="M103" s="2" t="s">
        <v>561</v>
      </c>
      <c r="N103" s="6" t="s">
        <v>558</v>
      </c>
      <c r="O103" t="s">
        <v>23</v>
      </c>
      <c r="P103" t="s">
        <v>23</v>
      </c>
      <c r="Q103" t="s">
        <v>23</v>
      </c>
    </row>
    <row r="104" spans="1:17">
      <c r="A104" s="2" t="s">
        <v>205</v>
      </c>
      <c r="B104" t="s">
        <v>206</v>
      </c>
      <c r="C104">
        <v>0</v>
      </c>
      <c r="D104">
        <v>35</v>
      </c>
      <c r="E104" t="s">
        <v>94</v>
      </c>
      <c r="M104" s="2" t="s">
        <v>562</v>
      </c>
      <c r="N104" s="6" t="s">
        <v>558</v>
      </c>
      <c r="O104" t="s">
        <v>23</v>
      </c>
      <c r="P104" t="s">
        <v>23</v>
      </c>
      <c r="Q104" t="s">
        <v>23</v>
      </c>
    </row>
    <row r="105" spans="1:17">
      <c r="A105" s="2" t="s">
        <v>207</v>
      </c>
      <c r="B105" t="s">
        <v>208</v>
      </c>
      <c r="C105">
        <v>0</v>
      </c>
      <c r="D105">
        <v>35</v>
      </c>
      <c r="E105" t="s">
        <v>94</v>
      </c>
      <c r="M105" s="2" t="s">
        <v>563</v>
      </c>
      <c r="N105" s="6" t="s">
        <v>558</v>
      </c>
      <c r="O105" t="s">
        <v>23</v>
      </c>
      <c r="P105" t="s">
        <v>23</v>
      </c>
      <c r="Q105" t="s">
        <v>23</v>
      </c>
    </row>
    <row r="106" spans="1:17">
      <c r="A106" s="2" t="s">
        <v>209</v>
      </c>
      <c r="B106" t="s">
        <v>210</v>
      </c>
      <c r="C106">
        <v>0</v>
      </c>
      <c r="D106">
        <v>35</v>
      </c>
      <c r="E106" t="s">
        <v>94</v>
      </c>
      <c r="M106" s="2" t="s">
        <v>564</v>
      </c>
      <c r="N106" s="6" t="s">
        <v>558</v>
      </c>
      <c r="O106" t="s">
        <v>23</v>
      </c>
      <c r="P106" t="s">
        <v>23</v>
      </c>
      <c r="Q106" t="s">
        <v>23</v>
      </c>
    </row>
    <row r="107" spans="1:17">
      <c r="A107" s="2" t="s">
        <v>211</v>
      </c>
      <c r="B107" t="s">
        <v>212</v>
      </c>
      <c r="C107">
        <v>0</v>
      </c>
      <c r="D107">
        <v>35</v>
      </c>
      <c r="E107" t="s">
        <v>94</v>
      </c>
      <c r="M107" s="2" t="s">
        <v>565</v>
      </c>
      <c r="N107" s="6" t="s">
        <v>558</v>
      </c>
      <c r="O107" t="s">
        <v>23</v>
      </c>
      <c r="P107" t="s">
        <v>23</v>
      </c>
      <c r="Q107" t="s">
        <v>23</v>
      </c>
    </row>
    <row r="108" spans="1:17">
      <c r="A108" s="2" t="s">
        <v>213</v>
      </c>
      <c r="B108" t="s">
        <v>214</v>
      </c>
      <c r="C108">
        <v>0</v>
      </c>
      <c r="D108">
        <v>35</v>
      </c>
      <c r="E108" t="s">
        <v>94</v>
      </c>
      <c r="M108" s="2" t="s">
        <v>566</v>
      </c>
      <c r="N108" s="6" t="s">
        <v>558</v>
      </c>
      <c r="O108" t="s">
        <v>23</v>
      </c>
      <c r="P108" t="s">
        <v>23</v>
      </c>
      <c r="Q108" t="s">
        <v>23</v>
      </c>
    </row>
    <row r="109" spans="1:17">
      <c r="A109" s="2" t="s">
        <v>215</v>
      </c>
      <c r="B109" t="s">
        <v>216</v>
      </c>
      <c r="C109">
        <v>0</v>
      </c>
      <c r="D109">
        <v>35</v>
      </c>
      <c r="E109" t="s">
        <v>94</v>
      </c>
      <c r="M109" s="2" t="s">
        <v>567</v>
      </c>
      <c r="N109" s="6" t="s">
        <v>558</v>
      </c>
      <c r="O109" t="s">
        <v>23</v>
      </c>
      <c r="P109" t="s">
        <v>23</v>
      </c>
      <c r="Q109" t="s">
        <v>23</v>
      </c>
    </row>
    <row r="110" spans="1:17">
      <c r="A110" s="2" t="s">
        <v>217</v>
      </c>
      <c r="B110" t="s">
        <v>218</v>
      </c>
      <c r="C110">
        <v>0</v>
      </c>
      <c r="D110">
        <v>35</v>
      </c>
      <c r="E110" t="s">
        <v>94</v>
      </c>
      <c r="M110" s="2" t="s">
        <v>568</v>
      </c>
      <c r="N110" s="6" t="s">
        <v>558</v>
      </c>
      <c r="O110" t="s">
        <v>23</v>
      </c>
      <c r="P110" t="s">
        <v>23</v>
      </c>
      <c r="Q110" t="s">
        <v>23</v>
      </c>
    </row>
    <row r="111" spans="1:17">
      <c r="A111" s="2" t="s">
        <v>219</v>
      </c>
      <c r="B111" t="s">
        <v>220</v>
      </c>
      <c r="C111">
        <v>1</v>
      </c>
      <c r="D111">
        <v>35</v>
      </c>
      <c r="E111" t="s">
        <v>94</v>
      </c>
      <c r="M111" s="2" t="s">
        <v>569</v>
      </c>
      <c r="N111" s="6" t="s">
        <v>558</v>
      </c>
      <c r="O111" t="s">
        <v>23</v>
      </c>
      <c r="P111" t="s">
        <v>23</v>
      </c>
      <c r="Q111" t="s">
        <v>23</v>
      </c>
    </row>
    <row r="112" spans="1:17">
      <c r="A112" s="2" t="s">
        <v>221</v>
      </c>
      <c r="B112" t="s">
        <v>222</v>
      </c>
      <c r="C112">
        <v>1</v>
      </c>
      <c r="D112">
        <v>35</v>
      </c>
      <c r="E112" t="s">
        <v>94</v>
      </c>
      <c r="M112" s="2" t="s">
        <v>570</v>
      </c>
      <c r="N112" s="6" t="s">
        <v>558</v>
      </c>
      <c r="O112" t="s">
        <v>23</v>
      </c>
      <c r="P112" t="s">
        <v>23</v>
      </c>
      <c r="Q112" t="s">
        <v>23</v>
      </c>
    </row>
    <row r="113" spans="1:17">
      <c r="A113" s="2" t="s">
        <v>223</v>
      </c>
      <c r="B113" t="s">
        <v>224</v>
      </c>
      <c r="C113">
        <v>1</v>
      </c>
      <c r="D113">
        <v>35</v>
      </c>
      <c r="E113" t="s">
        <v>94</v>
      </c>
      <c r="M113" s="2" t="s">
        <v>571</v>
      </c>
      <c r="N113" s="6" t="s">
        <v>558</v>
      </c>
      <c r="O113" t="s">
        <v>23</v>
      </c>
      <c r="P113" t="s">
        <v>23</v>
      </c>
      <c r="Q113" t="s">
        <v>23</v>
      </c>
    </row>
    <row r="114" spans="1:17">
      <c r="A114" s="2" t="s">
        <v>225</v>
      </c>
      <c r="B114" t="s">
        <v>226</v>
      </c>
      <c r="C114">
        <v>1</v>
      </c>
      <c r="D114">
        <v>35</v>
      </c>
      <c r="E114" t="s">
        <v>94</v>
      </c>
      <c r="M114" s="2" t="s">
        <v>572</v>
      </c>
      <c r="N114" s="6" t="s">
        <v>558</v>
      </c>
      <c r="O114" t="s">
        <v>23</v>
      </c>
      <c r="P114" t="s">
        <v>23</v>
      </c>
      <c r="Q114" t="s">
        <v>23</v>
      </c>
    </row>
    <row r="115" spans="1:17">
      <c r="A115" s="2" t="s">
        <v>227</v>
      </c>
      <c r="B115" t="s">
        <v>228</v>
      </c>
      <c r="C115">
        <v>1</v>
      </c>
      <c r="D115">
        <v>35</v>
      </c>
      <c r="E115" t="s">
        <v>94</v>
      </c>
      <c r="M115" s="2" t="s">
        <v>573</v>
      </c>
      <c r="N115" s="6" t="s">
        <v>558</v>
      </c>
      <c r="O115" t="s">
        <v>23</v>
      </c>
      <c r="P115" t="s">
        <v>23</v>
      </c>
      <c r="Q115" t="s">
        <v>23</v>
      </c>
    </row>
    <row r="116" spans="1:17">
      <c r="A116" s="2" t="s">
        <v>229</v>
      </c>
      <c r="B116" t="s">
        <v>230</v>
      </c>
      <c r="C116">
        <v>1</v>
      </c>
      <c r="D116">
        <v>35</v>
      </c>
      <c r="E116" t="s">
        <v>94</v>
      </c>
      <c r="M116" s="2" t="s">
        <v>574</v>
      </c>
      <c r="N116" s="6" t="s">
        <v>558</v>
      </c>
      <c r="O116" t="s">
        <v>23</v>
      </c>
      <c r="P116" t="s">
        <v>23</v>
      </c>
      <c r="Q116" t="s">
        <v>23</v>
      </c>
    </row>
    <row r="117" spans="1:17">
      <c r="A117" s="2" t="s">
        <v>231</v>
      </c>
      <c r="B117" t="s">
        <v>232</v>
      </c>
      <c r="C117">
        <v>1</v>
      </c>
      <c r="D117">
        <v>35</v>
      </c>
      <c r="E117" t="s">
        <v>94</v>
      </c>
      <c r="M117" s="2" t="s">
        <v>575</v>
      </c>
      <c r="N117" s="6" t="s">
        <v>558</v>
      </c>
      <c r="O117" t="s">
        <v>23</v>
      </c>
      <c r="P117" t="s">
        <v>23</v>
      </c>
      <c r="Q117" t="s">
        <v>23</v>
      </c>
    </row>
    <row r="118" spans="1:17">
      <c r="A118" s="2" t="s">
        <v>233</v>
      </c>
      <c r="B118" t="s">
        <v>234</v>
      </c>
      <c r="C118">
        <v>1</v>
      </c>
      <c r="D118">
        <v>35</v>
      </c>
      <c r="E118" t="s">
        <v>94</v>
      </c>
      <c r="M118" s="2" t="s">
        <v>576</v>
      </c>
      <c r="N118" s="6" t="s">
        <v>558</v>
      </c>
      <c r="O118" t="s">
        <v>23</v>
      </c>
      <c r="P118" t="s">
        <v>23</v>
      </c>
      <c r="Q118" t="s">
        <v>23</v>
      </c>
    </row>
    <row r="119" spans="1:17">
      <c r="A119" s="2" t="s">
        <v>235</v>
      </c>
      <c r="B119" t="s">
        <v>236</v>
      </c>
      <c r="C119">
        <v>1</v>
      </c>
      <c r="D119">
        <v>35</v>
      </c>
      <c r="E119" t="s">
        <v>94</v>
      </c>
      <c r="M119" s="2" t="s">
        <v>577</v>
      </c>
      <c r="N119" s="6" t="s">
        <v>558</v>
      </c>
      <c r="O119" t="s">
        <v>23</v>
      </c>
      <c r="P119" t="s">
        <v>23</v>
      </c>
      <c r="Q119" t="s">
        <v>23</v>
      </c>
    </row>
    <row r="120" spans="1:17">
      <c r="A120" s="2" t="s">
        <v>237</v>
      </c>
      <c r="B120" t="s">
        <v>238</v>
      </c>
      <c r="C120">
        <v>1</v>
      </c>
      <c r="D120">
        <v>35</v>
      </c>
      <c r="E120" t="s">
        <v>94</v>
      </c>
      <c r="M120" s="2" t="s">
        <v>578</v>
      </c>
      <c r="N120" s="6" t="s">
        <v>558</v>
      </c>
      <c r="O120" t="s">
        <v>23</v>
      </c>
      <c r="P120" t="s">
        <v>23</v>
      </c>
      <c r="Q120" t="s">
        <v>23</v>
      </c>
    </row>
    <row r="121" spans="1:17">
      <c r="A121" s="2" t="s">
        <v>239</v>
      </c>
      <c r="B121" t="s">
        <v>240</v>
      </c>
      <c r="C121">
        <v>1</v>
      </c>
      <c r="D121">
        <v>35</v>
      </c>
      <c r="E121" t="s">
        <v>94</v>
      </c>
      <c r="M121" s="2" t="s">
        <v>579</v>
      </c>
      <c r="N121" s="6" t="s">
        <v>558</v>
      </c>
      <c r="O121" t="s">
        <v>23</v>
      </c>
      <c r="P121" t="s">
        <v>23</v>
      </c>
      <c r="Q121" t="s">
        <v>23</v>
      </c>
    </row>
    <row r="122" spans="1:17">
      <c r="A122" s="2" t="s">
        <v>241</v>
      </c>
      <c r="B122" t="s">
        <v>242</v>
      </c>
      <c r="C122">
        <v>1</v>
      </c>
      <c r="D122">
        <v>35</v>
      </c>
      <c r="E122" t="s">
        <v>94</v>
      </c>
      <c r="M122" s="2" t="s">
        <v>580</v>
      </c>
      <c r="N122" s="6" t="s">
        <v>558</v>
      </c>
      <c r="O122" t="s">
        <v>23</v>
      </c>
      <c r="P122" t="s">
        <v>23</v>
      </c>
      <c r="Q122" t="s">
        <v>23</v>
      </c>
    </row>
    <row r="123" spans="1:17">
      <c r="A123" s="2" t="s">
        <v>243</v>
      </c>
      <c r="B123" t="s">
        <v>244</v>
      </c>
      <c r="C123">
        <v>2</v>
      </c>
      <c r="D123">
        <v>35</v>
      </c>
      <c r="E123" t="s">
        <v>94</v>
      </c>
      <c r="M123" s="2" t="s">
        <v>581</v>
      </c>
      <c r="N123" s="6" t="s">
        <v>558</v>
      </c>
      <c r="O123" t="s">
        <v>23</v>
      </c>
      <c r="P123" t="s">
        <v>23</v>
      </c>
      <c r="Q123" t="s">
        <v>23</v>
      </c>
    </row>
    <row r="124" spans="1:17">
      <c r="A124" s="2" t="s">
        <v>245</v>
      </c>
      <c r="B124" t="s">
        <v>246</v>
      </c>
      <c r="C124">
        <v>2</v>
      </c>
      <c r="D124">
        <v>35</v>
      </c>
      <c r="E124" t="s">
        <v>94</v>
      </c>
      <c r="M124" s="2" t="s">
        <v>582</v>
      </c>
      <c r="N124" s="6" t="s">
        <v>558</v>
      </c>
      <c r="O124" t="s">
        <v>23</v>
      </c>
      <c r="P124" t="s">
        <v>23</v>
      </c>
      <c r="Q124" t="s">
        <v>23</v>
      </c>
    </row>
    <row r="125" spans="1:17">
      <c r="A125" s="2" t="s">
        <v>247</v>
      </c>
      <c r="B125" t="s">
        <v>248</v>
      </c>
      <c r="C125">
        <v>2</v>
      </c>
      <c r="D125">
        <v>35</v>
      </c>
      <c r="E125" t="s">
        <v>94</v>
      </c>
      <c r="M125" s="2" t="s">
        <v>583</v>
      </c>
      <c r="N125" s="6" t="s">
        <v>558</v>
      </c>
      <c r="O125" t="s">
        <v>23</v>
      </c>
      <c r="P125" t="s">
        <v>23</v>
      </c>
      <c r="Q125" t="s">
        <v>23</v>
      </c>
    </row>
    <row r="126" spans="1:17">
      <c r="A126" s="2" t="s">
        <v>249</v>
      </c>
      <c r="B126" t="s">
        <v>250</v>
      </c>
      <c r="C126">
        <v>2</v>
      </c>
      <c r="D126">
        <v>35</v>
      </c>
      <c r="E126" t="s">
        <v>94</v>
      </c>
      <c r="M126" s="2" t="s">
        <v>584</v>
      </c>
      <c r="N126" s="6" t="s">
        <v>558</v>
      </c>
      <c r="O126" t="s">
        <v>23</v>
      </c>
      <c r="P126" t="s">
        <v>23</v>
      </c>
      <c r="Q126" t="s">
        <v>23</v>
      </c>
    </row>
    <row r="127" spans="1:17">
      <c r="A127" s="2" t="s">
        <v>251</v>
      </c>
      <c r="B127" t="s">
        <v>252</v>
      </c>
      <c r="C127">
        <v>2</v>
      </c>
      <c r="D127">
        <v>35</v>
      </c>
      <c r="E127" t="s">
        <v>94</v>
      </c>
      <c r="M127" s="2" t="s">
        <v>585</v>
      </c>
      <c r="N127" s="6" t="s">
        <v>558</v>
      </c>
      <c r="O127" t="s">
        <v>23</v>
      </c>
      <c r="P127" t="s">
        <v>23</v>
      </c>
      <c r="Q127" t="s">
        <v>23</v>
      </c>
    </row>
    <row r="128" spans="1:17">
      <c r="A128" s="2" t="s">
        <v>253</v>
      </c>
      <c r="B128" t="s">
        <v>254</v>
      </c>
      <c r="C128">
        <v>2</v>
      </c>
      <c r="D128">
        <v>35</v>
      </c>
      <c r="E128" t="s">
        <v>94</v>
      </c>
      <c r="M128" s="2" t="s">
        <v>586</v>
      </c>
      <c r="N128" s="6" t="s">
        <v>558</v>
      </c>
      <c r="O128" t="s">
        <v>23</v>
      </c>
      <c r="P128" t="s">
        <v>23</v>
      </c>
      <c r="Q128" t="s">
        <v>23</v>
      </c>
    </row>
    <row r="129" spans="1:17">
      <c r="A129" s="2" t="s">
        <v>255</v>
      </c>
      <c r="B129" t="s">
        <v>256</v>
      </c>
      <c r="C129">
        <v>2</v>
      </c>
      <c r="D129">
        <v>35</v>
      </c>
      <c r="E129" t="s">
        <v>94</v>
      </c>
      <c r="M129" s="2" t="s">
        <v>587</v>
      </c>
      <c r="N129" s="6" t="s">
        <v>558</v>
      </c>
      <c r="O129" t="s">
        <v>23</v>
      </c>
      <c r="P129" t="s">
        <v>23</v>
      </c>
      <c r="Q129" t="s">
        <v>23</v>
      </c>
    </row>
    <row r="130" spans="1:17">
      <c r="A130" s="2" t="s">
        <v>257</v>
      </c>
      <c r="B130" t="s">
        <v>258</v>
      </c>
      <c r="C130">
        <v>2</v>
      </c>
      <c r="D130">
        <v>35</v>
      </c>
      <c r="E130" t="s">
        <v>94</v>
      </c>
      <c r="M130" s="2" t="s">
        <v>588</v>
      </c>
      <c r="N130" s="6" t="s">
        <v>558</v>
      </c>
      <c r="O130" t="s">
        <v>23</v>
      </c>
      <c r="P130" t="s">
        <v>23</v>
      </c>
      <c r="Q130" t="s">
        <v>23</v>
      </c>
    </row>
    <row r="131" spans="1:17">
      <c r="A131" s="2" t="s">
        <v>259</v>
      </c>
      <c r="B131" t="s">
        <v>260</v>
      </c>
      <c r="C131">
        <v>2</v>
      </c>
      <c r="D131">
        <v>35</v>
      </c>
      <c r="E131" t="s">
        <v>94</v>
      </c>
      <c r="M131" s="2" t="s">
        <v>589</v>
      </c>
      <c r="N131" s="6" t="s">
        <v>558</v>
      </c>
      <c r="O131" t="s">
        <v>23</v>
      </c>
      <c r="P131" t="s">
        <v>23</v>
      </c>
      <c r="Q131" t="s">
        <v>23</v>
      </c>
    </row>
    <row r="132" spans="1:17">
      <c r="A132" s="2" t="s">
        <v>261</v>
      </c>
      <c r="B132" t="s">
        <v>262</v>
      </c>
      <c r="C132">
        <v>2</v>
      </c>
      <c r="D132">
        <v>35</v>
      </c>
      <c r="E132" t="s">
        <v>94</v>
      </c>
      <c r="M132" s="2" t="s">
        <v>590</v>
      </c>
      <c r="N132" s="6" t="s">
        <v>558</v>
      </c>
      <c r="O132" t="s">
        <v>23</v>
      </c>
      <c r="P132" t="s">
        <v>23</v>
      </c>
      <c r="Q132" t="s">
        <v>23</v>
      </c>
    </row>
    <row r="133" spans="1:17">
      <c r="A133" s="2" t="s">
        <v>263</v>
      </c>
      <c r="B133" t="s">
        <v>264</v>
      </c>
      <c r="C133">
        <v>2</v>
      </c>
      <c r="D133">
        <v>35</v>
      </c>
      <c r="E133" t="s">
        <v>94</v>
      </c>
      <c r="M133" s="2" t="s">
        <v>591</v>
      </c>
      <c r="N133" s="6" t="s">
        <v>558</v>
      </c>
      <c r="O133" t="s">
        <v>23</v>
      </c>
      <c r="P133" t="s">
        <v>23</v>
      </c>
      <c r="Q133" t="s">
        <v>23</v>
      </c>
    </row>
    <row r="134" spans="1:17">
      <c r="A134" s="2" t="s">
        <v>265</v>
      </c>
      <c r="B134" t="s">
        <v>266</v>
      </c>
      <c r="C134">
        <v>2</v>
      </c>
      <c r="D134">
        <v>35</v>
      </c>
      <c r="E134" t="s">
        <v>94</v>
      </c>
      <c r="M134" s="2" t="s">
        <v>592</v>
      </c>
      <c r="N134" s="6" t="s">
        <v>558</v>
      </c>
      <c r="O134" t="s">
        <v>23</v>
      </c>
      <c r="P134" t="s">
        <v>23</v>
      </c>
      <c r="Q134" t="s">
        <v>23</v>
      </c>
    </row>
    <row r="135" spans="1:17">
      <c r="A135" s="2" t="s">
        <v>267</v>
      </c>
      <c r="B135" t="s">
        <v>268</v>
      </c>
      <c r="C135">
        <v>3</v>
      </c>
      <c r="D135">
        <v>35</v>
      </c>
      <c r="E135" t="s">
        <v>94</v>
      </c>
      <c r="M135" s="2" t="s">
        <v>593</v>
      </c>
      <c r="N135" s="6" t="s">
        <v>558</v>
      </c>
      <c r="O135" t="s">
        <v>23</v>
      </c>
      <c r="P135" t="s">
        <v>23</v>
      </c>
      <c r="Q135" t="s">
        <v>23</v>
      </c>
    </row>
    <row r="136" spans="1:17">
      <c r="A136" s="2" t="s">
        <v>269</v>
      </c>
      <c r="B136" t="s">
        <v>270</v>
      </c>
      <c r="C136">
        <v>3</v>
      </c>
      <c r="D136">
        <v>35</v>
      </c>
      <c r="E136" t="s">
        <v>94</v>
      </c>
      <c r="M136" s="2" t="s">
        <v>594</v>
      </c>
      <c r="N136" s="6" t="s">
        <v>558</v>
      </c>
      <c r="O136" t="s">
        <v>23</v>
      </c>
      <c r="P136" t="s">
        <v>23</v>
      </c>
      <c r="Q136" t="s">
        <v>23</v>
      </c>
    </row>
    <row r="137" spans="1:17">
      <c r="A137" s="2" t="s">
        <v>271</v>
      </c>
      <c r="B137" t="s">
        <v>272</v>
      </c>
      <c r="C137">
        <v>3</v>
      </c>
      <c r="D137">
        <v>35</v>
      </c>
      <c r="E137" t="s">
        <v>94</v>
      </c>
      <c r="M137" s="2" t="s">
        <v>595</v>
      </c>
      <c r="N137" s="6" t="s">
        <v>558</v>
      </c>
      <c r="O137" t="s">
        <v>23</v>
      </c>
      <c r="P137" t="s">
        <v>23</v>
      </c>
      <c r="Q137" t="s">
        <v>23</v>
      </c>
    </row>
    <row r="138" spans="1:17">
      <c r="A138" s="2" t="s">
        <v>273</v>
      </c>
      <c r="B138" t="s">
        <v>274</v>
      </c>
      <c r="C138">
        <v>3</v>
      </c>
      <c r="D138">
        <v>35</v>
      </c>
      <c r="E138" t="s">
        <v>94</v>
      </c>
      <c r="M138" s="2" t="s">
        <v>596</v>
      </c>
      <c r="N138" s="6" t="s">
        <v>558</v>
      </c>
      <c r="O138" t="s">
        <v>23</v>
      </c>
      <c r="P138" t="s">
        <v>23</v>
      </c>
      <c r="Q138" t="s">
        <v>23</v>
      </c>
    </row>
    <row r="139" spans="1:17">
      <c r="A139" s="2" t="s">
        <v>275</v>
      </c>
      <c r="B139" t="s">
        <v>276</v>
      </c>
      <c r="C139">
        <v>3</v>
      </c>
      <c r="D139">
        <v>35</v>
      </c>
      <c r="E139" t="s">
        <v>94</v>
      </c>
      <c r="M139" s="2" t="s">
        <v>597</v>
      </c>
      <c r="N139" s="6" t="s">
        <v>558</v>
      </c>
      <c r="O139" t="s">
        <v>23</v>
      </c>
      <c r="P139" t="s">
        <v>23</v>
      </c>
      <c r="Q139" t="s">
        <v>23</v>
      </c>
    </row>
    <row r="140" spans="1:17">
      <c r="A140" s="2" t="s">
        <v>277</v>
      </c>
      <c r="B140" t="s">
        <v>278</v>
      </c>
      <c r="C140">
        <v>3</v>
      </c>
      <c r="D140">
        <v>35</v>
      </c>
      <c r="E140" t="s">
        <v>94</v>
      </c>
      <c r="M140" s="2" t="s">
        <v>598</v>
      </c>
      <c r="N140" s="6" t="s">
        <v>558</v>
      </c>
      <c r="O140" t="s">
        <v>23</v>
      </c>
      <c r="P140" t="s">
        <v>23</v>
      </c>
      <c r="Q140" t="s">
        <v>23</v>
      </c>
    </row>
    <row r="141" spans="1:17">
      <c r="A141" s="2" t="s">
        <v>279</v>
      </c>
      <c r="B141" t="s">
        <v>280</v>
      </c>
      <c r="C141">
        <v>3</v>
      </c>
      <c r="D141">
        <v>35</v>
      </c>
      <c r="E141" t="s">
        <v>94</v>
      </c>
      <c r="M141" s="2" t="s">
        <v>599</v>
      </c>
      <c r="N141" s="6" t="s">
        <v>558</v>
      </c>
      <c r="O141" t="s">
        <v>23</v>
      </c>
      <c r="P141" t="s">
        <v>23</v>
      </c>
      <c r="Q141" t="s">
        <v>23</v>
      </c>
    </row>
    <row r="142" spans="1:17">
      <c r="A142" s="2" t="s">
        <v>281</v>
      </c>
      <c r="B142" t="s">
        <v>282</v>
      </c>
      <c r="C142">
        <v>3</v>
      </c>
      <c r="D142">
        <v>35</v>
      </c>
      <c r="E142" t="s">
        <v>94</v>
      </c>
      <c r="M142" s="2" t="s">
        <v>600</v>
      </c>
      <c r="N142" s="6" t="s">
        <v>558</v>
      </c>
      <c r="O142" t="s">
        <v>23</v>
      </c>
      <c r="P142" t="s">
        <v>23</v>
      </c>
      <c r="Q142" t="s">
        <v>23</v>
      </c>
    </row>
    <row r="143" spans="1:17">
      <c r="A143" s="2" t="s">
        <v>283</v>
      </c>
      <c r="B143" t="s">
        <v>284</v>
      </c>
      <c r="C143">
        <v>3</v>
      </c>
      <c r="D143">
        <v>35</v>
      </c>
      <c r="E143" t="s">
        <v>94</v>
      </c>
      <c r="M143" s="2" t="s">
        <v>601</v>
      </c>
      <c r="N143" s="6" t="s">
        <v>558</v>
      </c>
      <c r="O143" t="s">
        <v>23</v>
      </c>
      <c r="P143" t="s">
        <v>23</v>
      </c>
      <c r="Q143" t="s">
        <v>23</v>
      </c>
    </row>
    <row r="144" spans="1:17">
      <c r="A144" s="2" t="s">
        <v>285</v>
      </c>
      <c r="B144" t="s">
        <v>286</v>
      </c>
      <c r="C144">
        <v>3</v>
      </c>
      <c r="D144">
        <v>35</v>
      </c>
      <c r="E144" t="s">
        <v>94</v>
      </c>
      <c r="M144" s="2" t="s">
        <v>602</v>
      </c>
      <c r="N144" s="6" t="s">
        <v>558</v>
      </c>
      <c r="O144" t="s">
        <v>23</v>
      </c>
      <c r="P144" t="s">
        <v>23</v>
      </c>
      <c r="Q144" t="s">
        <v>23</v>
      </c>
    </row>
    <row r="145" spans="1:17">
      <c r="A145" s="2" t="s">
        <v>287</v>
      </c>
      <c r="B145" t="s">
        <v>288</v>
      </c>
      <c r="C145">
        <v>3</v>
      </c>
      <c r="D145">
        <v>35</v>
      </c>
      <c r="E145" t="s">
        <v>94</v>
      </c>
      <c r="M145" s="2" t="s">
        <v>603</v>
      </c>
      <c r="N145" s="6" t="s">
        <v>558</v>
      </c>
      <c r="O145" t="s">
        <v>23</v>
      </c>
      <c r="P145" t="s">
        <v>23</v>
      </c>
      <c r="Q145" t="s">
        <v>23</v>
      </c>
    </row>
    <row r="146" spans="1:17">
      <c r="A146" s="2" t="s">
        <v>289</v>
      </c>
      <c r="B146" t="s">
        <v>290</v>
      </c>
      <c r="C146">
        <v>3</v>
      </c>
      <c r="D146">
        <v>35</v>
      </c>
      <c r="E146" t="s">
        <v>94</v>
      </c>
      <c r="M146" s="2" t="s">
        <v>604</v>
      </c>
      <c r="N146" s="6" t="s">
        <v>558</v>
      </c>
      <c r="O146" t="s">
        <v>23</v>
      </c>
      <c r="P146" t="s">
        <v>23</v>
      </c>
      <c r="Q146" t="s">
        <v>23</v>
      </c>
    </row>
    <row r="147" spans="1:17">
      <c r="A147" s="2" t="s">
        <v>291</v>
      </c>
      <c r="B147" t="s">
        <v>292</v>
      </c>
      <c r="C147" t="s">
        <v>23</v>
      </c>
      <c r="D147">
        <v>35</v>
      </c>
      <c r="E147" t="s">
        <v>94</v>
      </c>
      <c r="M147" s="2" t="s">
        <v>605</v>
      </c>
      <c r="N147" s="6" t="s">
        <v>558</v>
      </c>
      <c r="O147" t="s">
        <v>23</v>
      </c>
      <c r="P147" t="s">
        <v>23</v>
      </c>
      <c r="Q147" t="s">
        <v>23</v>
      </c>
    </row>
    <row r="148" spans="1:17">
      <c r="A148" s="2" t="s">
        <v>293</v>
      </c>
      <c r="B148" t="s">
        <v>294</v>
      </c>
      <c r="C148" t="s">
        <v>23</v>
      </c>
      <c r="D148">
        <v>500</v>
      </c>
      <c r="E148" t="s">
        <v>295</v>
      </c>
      <c r="M148" s="2" t="s">
        <v>606</v>
      </c>
      <c r="N148" s="6" t="s">
        <v>558</v>
      </c>
      <c r="O148" t="s">
        <v>23</v>
      </c>
      <c r="P148" t="s">
        <v>23</v>
      </c>
      <c r="Q148" t="s">
        <v>23</v>
      </c>
    </row>
    <row r="149" spans="1:17">
      <c r="A149" s="2" t="s">
        <v>296</v>
      </c>
      <c r="B149" t="s">
        <v>297</v>
      </c>
      <c r="C149" t="s">
        <v>23</v>
      </c>
      <c r="D149">
        <v>501</v>
      </c>
      <c r="E149" t="s">
        <v>295</v>
      </c>
      <c r="M149" s="2" t="s">
        <v>607</v>
      </c>
      <c r="N149" s="6" t="s">
        <v>558</v>
      </c>
      <c r="O149" t="s">
        <v>23</v>
      </c>
      <c r="P149" t="s">
        <v>23</v>
      </c>
      <c r="Q149" t="s">
        <v>23</v>
      </c>
    </row>
    <row r="150" spans="1:17">
      <c r="A150" s="2" t="s">
        <v>298</v>
      </c>
      <c r="B150" t="s">
        <v>299</v>
      </c>
      <c r="C150" t="s">
        <v>23</v>
      </c>
      <c r="D150">
        <v>500</v>
      </c>
      <c r="E150" t="s">
        <v>295</v>
      </c>
      <c r="M150" s="2" t="s">
        <v>608</v>
      </c>
      <c r="N150" s="6" t="s">
        <v>558</v>
      </c>
      <c r="O150" t="s">
        <v>23</v>
      </c>
      <c r="P150" t="s">
        <v>23</v>
      </c>
      <c r="Q150" t="s">
        <v>23</v>
      </c>
    </row>
    <row r="151" spans="1:17">
      <c r="A151" s="2" t="s">
        <v>300</v>
      </c>
      <c r="B151" t="s">
        <v>301</v>
      </c>
      <c r="C151" t="s">
        <v>23</v>
      </c>
      <c r="D151">
        <v>500</v>
      </c>
      <c r="E151" t="s">
        <v>295</v>
      </c>
      <c r="M151" s="2" t="s">
        <v>609</v>
      </c>
      <c r="N151" s="6" t="s">
        <v>558</v>
      </c>
      <c r="O151" t="s">
        <v>23</v>
      </c>
      <c r="P151" t="s">
        <v>23</v>
      </c>
      <c r="Q151" t="s">
        <v>23</v>
      </c>
    </row>
    <row r="152" spans="1:17">
      <c r="A152" s="2" t="s">
        <v>302</v>
      </c>
      <c r="B152" t="s">
        <v>303</v>
      </c>
      <c r="C152" t="s">
        <v>23</v>
      </c>
      <c r="D152">
        <v>501</v>
      </c>
      <c r="E152" t="s">
        <v>295</v>
      </c>
      <c r="M152" s="2" t="s">
        <v>610</v>
      </c>
      <c r="N152" s="6" t="s">
        <v>558</v>
      </c>
      <c r="O152" t="s">
        <v>23</v>
      </c>
      <c r="P152" t="s">
        <v>23</v>
      </c>
      <c r="Q152" t="s">
        <v>23</v>
      </c>
    </row>
    <row r="153" spans="1:17">
      <c r="A153" s="2" t="s">
        <v>304</v>
      </c>
      <c r="B153" t="s">
        <v>305</v>
      </c>
      <c r="C153" t="s">
        <v>23</v>
      </c>
      <c r="D153">
        <v>501</v>
      </c>
      <c r="E153" t="s">
        <v>295</v>
      </c>
      <c r="M153" s="2" t="s">
        <v>611</v>
      </c>
      <c r="N153" s="6" t="s">
        <v>558</v>
      </c>
      <c r="O153" t="s">
        <v>23</v>
      </c>
      <c r="P153" t="s">
        <v>23</v>
      </c>
      <c r="Q153" t="s">
        <v>23</v>
      </c>
    </row>
    <row r="154" spans="1:17">
      <c r="A154" s="2" t="s">
        <v>306</v>
      </c>
      <c r="B154" t="s">
        <v>307</v>
      </c>
      <c r="C154" t="s">
        <v>23</v>
      </c>
      <c r="D154">
        <v>501</v>
      </c>
      <c r="E154" t="s">
        <v>295</v>
      </c>
      <c r="M154" s="2" t="s">
        <v>612</v>
      </c>
      <c r="N154" s="6" t="s">
        <v>558</v>
      </c>
      <c r="O154" t="s">
        <v>23</v>
      </c>
      <c r="P154" t="s">
        <v>23</v>
      </c>
      <c r="Q154" t="s">
        <v>23</v>
      </c>
    </row>
    <row r="155" spans="1:17">
      <c r="A155" s="2" t="s">
        <v>308</v>
      </c>
      <c r="B155" t="s">
        <v>309</v>
      </c>
      <c r="C155" t="s">
        <v>23</v>
      </c>
      <c r="D155">
        <v>501</v>
      </c>
      <c r="E155" t="s">
        <v>295</v>
      </c>
      <c r="M155" s="2" t="s">
        <v>613</v>
      </c>
      <c r="N155" s="6" t="s">
        <v>558</v>
      </c>
      <c r="O155" t="s">
        <v>23</v>
      </c>
      <c r="P155" t="s">
        <v>23</v>
      </c>
      <c r="Q155" t="s">
        <v>23</v>
      </c>
    </row>
    <row r="156" spans="1:17">
      <c r="A156" s="2" t="s">
        <v>310</v>
      </c>
      <c r="B156" t="s">
        <v>311</v>
      </c>
      <c r="C156" t="s">
        <v>23</v>
      </c>
      <c r="D156">
        <v>501</v>
      </c>
      <c r="E156" t="s">
        <v>295</v>
      </c>
      <c r="M156" s="2" t="s">
        <v>614</v>
      </c>
      <c r="N156" s="6" t="s">
        <v>558</v>
      </c>
      <c r="O156" t="s">
        <v>23</v>
      </c>
      <c r="P156" t="s">
        <v>23</v>
      </c>
      <c r="Q156" t="s">
        <v>23</v>
      </c>
    </row>
    <row r="157" spans="1:17">
      <c r="A157" s="2" t="s">
        <v>312</v>
      </c>
      <c r="B157" t="s">
        <v>313</v>
      </c>
      <c r="C157" t="s">
        <v>23</v>
      </c>
      <c r="D157">
        <v>501</v>
      </c>
      <c r="E157" t="s">
        <v>295</v>
      </c>
      <c r="M157" s="2" t="s">
        <v>615</v>
      </c>
      <c r="N157" s="6" t="s">
        <v>558</v>
      </c>
      <c r="O157" t="s">
        <v>23</v>
      </c>
      <c r="P157" t="s">
        <v>23</v>
      </c>
      <c r="Q157" t="s">
        <v>23</v>
      </c>
    </row>
    <row r="158" spans="1:17">
      <c r="A158" s="2" t="s">
        <v>314</v>
      </c>
      <c r="B158" t="s">
        <v>315</v>
      </c>
      <c r="C158" t="s">
        <v>23</v>
      </c>
      <c r="D158">
        <v>501</v>
      </c>
      <c r="E158" t="s">
        <v>295</v>
      </c>
      <c r="M158" s="2" t="s">
        <v>616</v>
      </c>
      <c r="N158" s="6" t="s">
        <v>558</v>
      </c>
      <c r="O158" t="s">
        <v>23</v>
      </c>
      <c r="P158" t="s">
        <v>23</v>
      </c>
      <c r="Q158" t="s">
        <v>23</v>
      </c>
    </row>
    <row r="159" spans="1:17">
      <c r="A159" s="2" t="s">
        <v>316</v>
      </c>
      <c r="B159" t="s">
        <v>317</v>
      </c>
      <c r="C159" t="s">
        <v>23</v>
      </c>
      <c r="D159">
        <v>501</v>
      </c>
      <c r="E159" t="s">
        <v>295</v>
      </c>
    </row>
    <row r="160" spans="1:17">
      <c r="A160" s="2" t="s">
        <v>318</v>
      </c>
      <c r="B160" t="s">
        <v>319</v>
      </c>
      <c r="C160" t="s">
        <v>23</v>
      </c>
      <c r="D160">
        <v>501</v>
      </c>
      <c r="E160" t="s">
        <v>295</v>
      </c>
    </row>
    <row r="161" spans="1:17">
      <c r="A161" s="2" t="s">
        <v>320</v>
      </c>
      <c r="B161" t="s">
        <v>321</v>
      </c>
      <c r="C161" t="s">
        <v>23</v>
      </c>
      <c r="D161">
        <v>501</v>
      </c>
      <c r="E161" t="s">
        <v>295</v>
      </c>
      <c r="J161" t="s">
        <v>711</v>
      </c>
      <c r="K161" t="s">
        <v>412</v>
      </c>
      <c r="M161" t="s">
        <v>410</v>
      </c>
      <c r="N161" t="s">
        <v>411</v>
      </c>
      <c r="O161" t="s">
        <v>23</v>
      </c>
      <c r="P161">
        <v>502</v>
      </c>
      <c r="Q161" t="s">
        <v>412</v>
      </c>
    </row>
    <row r="162" spans="1:17">
      <c r="A162" s="2" t="s">
        <v>322</v>
      </c>
      <c r="B162" t="s">
        <v>323</v>
      </c>
      <c r="C162" t="s">
        <v>23</v>
      </c>
      <c r="D162">
        <v>501</v>
      </c>
      <c r="E162" t="s">
        <v>295</v>
      </c>
      <c r="M162" t="s">
        <v>413</v>
      </c>
      <c r="N162" t="s">
        <v>414</v>
      </c>
      <c r="O162" t="s">
        <v>23</v>
      </c>
      <c r="P162">
        <v>502</v>
      </c>
      <c r="Q162" t="s">
        <v>412</v>
      </c>
    </row>
    <row r="163" spans="1:17">
      <c r="A163" s="2" t="s">
        <v>324</v>
      </c>
      <c r="B163" t="s">
        <v>325</v>
      </c>
      <c r="C163" t="s">
        <v>23</v>
      </c>
      <c r="D163">
        <v>501</v>
      </c>
      <c r="E163" t="s">
        <v>295</v>
      </c>
      <c r="M163" t="s">
        <v>415</v>
      </c>
      <c r="N163" t="s">
        <v>416</v>
      </c>
      <c r="O163" t="s">
        <v>23</v>
      </c>
      <c r="P163">
        <v>502</v>
      </c>
      <c r="Q163" t="s">
        <v>412</v>
      </c>
    </row>
    <row r="164" spans="1:17">
      <c r="A164" s="2" t="s">
        <v>326</v>
      </c>
      <c r="B164" t="s">
        <v>327</v>
      </c>
      <c r="C164" t="s">
        <v>23</v>
      </c>
      <c r="D164">
        <v>501</v>
      </c>
      <c r="E164" t="s">
        <v>295</v>
      </c>
      <c r="M164" t="s">
        <v>417</v>
      </c>
      <c r="N164" t="s">
        <v>418</v>
      </c>
      <c r="O164" t="s">
        <v>23</v>
      </c>
      <c r="P164">
        <v>502</v>
      </c>
      <c r="Q164" t="s">
        <v>412</v>
      </c>
    </row>
    <row r="165" spans="1:17">
      <c r="A165" s="2" t="s">
        <v>328</v>
      </c>
      <c r="B165" t="s">
        <v>329</v>
      </c>
      <c r="C165" t="s">
        <v>23</v>
      </c>
      <c r="D165">
        <v>501</v>
      </c>
      <c r="E165" t="s">
        <v>295</v>
      </c>
      <c r="M165" t="s">
        <v>419</v>
      </c>
      <c r="N165" t="s">
        <v>420</v>
      </c>
      <c r="O165" t="s">
        <v>23</v>
      </c>
      <c r="P165">
        <v>502</v>
      </c>
      <c r="Q165" t="s">
        <v>412</v>
      </c>
    </row>
    <row r="166" spans="1:17">
      <c r="A166" s="2" t="s">
        <v>330</v>
      </c>
      <c r="B166" t="s">
        <v>331</v>
      </c>
      <c r="C166" t="s">
        <v>23</v>
      </c>
      <c r="D166">
        <v>501</v>
      </c>
      <c r="E166" t="s">
        <v>295</v>
      </c>
      <c r="M166" t="s">
        <v>421</v>
      </c>
      <c r="N166" t="s">
        <v>422</v>
      </c>
      <c r="O166" t="s">
        <v>23</v>
      </c>
      <c r="P166">
        <v>502</v>
      </c>
      <c r="Q166" t="s">
        <v>412</v>
      </c>
    </row>
    <row r="167" spans="1:17">
      <c r="A167" s="2" t="s">
        <v>332</v>
      </c>
      <c r="B167" t="s">
        <v>333</v>
      </c>
      <c r="C167" t="s">
        <v>23</v>
      </c>
      <c r="D167">
        <v>501</v>
      </c>
      <c r="E167" t="s">
        <v>295</v>
      </c>
      <c r="M167" t="s">
        <v>423</v>
      </c>
      <c r="N167" t="s">
        <v>424</v>
      </c>
      <c r="O167" t="s">
        <v>23</v>
      </c>
      <c r="P167">
        <v>502</v>
      </c>
      <c r="Q167" t="s">
        <v>412</v>
      </c>
    </row>
    <row r="168" spans="1:17">
      <c r="A168" s="2" t="s">
        <v>334</v>
      </c>
      <c r="B168" t="s">
        <v>335</v>
      </c>
      <c r="C168" t="s">
        <v>23</v>
      </c>
      <c r="D168">
        <v>501</v>
      </c>
      <c r="E168" t="s">
        <v>295</v>
      </c>
      <c r="M168" t="s">
        <v>425</v>
      </c>
      <c r="N168" t="s">
        <v>426</v>
      </c>
      <c r="O168" t="s">
        <v>23</v>
      </c>
      <c r="P168">
        <v>502</v>
      </c>
      <c r="Q168" t="s">
        <v>412</v>
      </c>
    </row>
    <row r="169" spans="1:17">
      <c r="A169" s="2" t="s">
        <v>336</v>
      </c>
      <c r="B169" t="s">
        <v>337</v>
      </c>
      <c r="C169" t="s">
        <v>23</v>
      </c>
      <c r="D169">
        <v>501</v>
      </c>
      <c r="E169" t="s">
        <v>295</v>
      </c>
      <c r="M169" t="s">
        <v>427</v>
      </c>
      <c r="N169" t="s">
        <v>428</v>
      </c>
      <c r="O169" t="s">
        <v>23</v>
      </c>
      <c r="P169">
        <v>502</v>
      </c>
      <c r="Q169" t="s">
        <v>412</v>
      </c>
    </row>
    <row r="170" spans="1:17">
      <c r="A170" s="2" t="s">
        <v>338</v>
      </c>
      <c r="B170" t="s">
        <v>339</v>
      </c>
      <c r="C170" t="s">
        <v>23</v>
      </c>
      <c r="D170">
        <v>501</v>
      </c>
      <c r="E170" t="s">
        <v>295</v>
      </c>
      <c r="M170" t="s">
        <v>429</v>
      </c>
      <c r="N170" t="s">
        <v>430</v>
      </c>
      <c r="O170" t="s">
        <v>23</v>
      </c>
      <c r="P170">
        <v>502</v>
      </c>
      <c r="Q170" t="s">
        <v>412</v>
      </c>
    </row>
    <row r="171" spans="1:17">
      <c r="A171" s="2" t="s">
        <v>340</v>
      </c>
      <c r="B171" t="s">
        <v>341</v>
      </c>
      <c r="C171" t="s">
        <v>23</v>
      </c>
      <c r="D171">
        <v>500</v>
      </c>
      <c r="E171" t="s">
        <v>295</v>
      </c>
      <c r="M171" t="s">
        <v>431</v>
      </c>
      <c r="N171" t="s">
        <v>432</v>
      </c>
      <c r="O171" t="s">
        <v>23</v>
      </c>
      <c r="P171">
        <v>502</v>
      </c>
      <c r="Q171" t="s">
        <v>412</v>
      </c>
    </row>
    <row r="172" spans="1:17">
      <c r="A172" s="2" t="s">
        <v>342</v>
      </c>
      <c r="B172" t="s">
        <v>343</v>
      </c>
      <c r="C172" t="s">
        <v>23</v>
      </c>
      <c r="D172">
        <v>501</v>
      </c>
      <c r="E172" t="s">
        <v>295</v>
      </c>
      <c r="M172" t="s">
        <v>433</v>
      </c>
      <c r="N172" t="s">
        <v>434</v>
      </c>
      <c r="O172" t="s">
        <v>23</v>
      </c>
      <c r="P172">
        <v>502</v>
      </c>
      <c r="Q172" t="s">
        <v>412</v>
      </c>
    </row>
    <row r="173" spans="1:17">
      <c r="A173" s="2" t="s">
        <v>344</v>
      </c>
      <c r="B173" t="s">
        <v>345</v>
      </c>
      <c r="C173" t="s">
        <v>23</v>
      </c>
      <c r="D173">
        <v>501</v>
      </c>
      <c r="E173" t="s">
        <v>295</v>
      </c>
      <c r="M173" t="s">
        <v>435</v>
      </c>
      <c r="N173" t="s">
        <v>436</v>
      </c>
      <c r="O173" t="s">
        <v>23</v>
      </c>
      <c r="P173">
        <v>502</v>
      </c>
      <c r="Q173" t="s">
        <v>412</v>
      </c>
    </row>
    <row r="174" spans="1:17">
      <c r="A174" s="2" t="s">
        <v>346</v>
      </c>
      <c r="B174" t="s">
        <v>347</v>
      </c>
      <c r="C174" t="s">
        <v>23</v>
      </c>
      <c r="D174">
        <v>501</v>
      </c>
      <c r="E174" t="s">
        <v>295</v>
      </c>
      <c r="M174" t="s">
        <v>437</v>
      </c>
      <c r="N174" t="s">
        <v>438</v>
      </c>
      <c r="O174" t="s">
        <v>23</v>
      </c>
      <c r="P174">
        <v>502</v>
      </c>
      <c r="Q174" t="s">
        <v>412</v>
      </c>
    </row>
    <row r="175" spans="1:17">
      <c r="A175" s="2" t="s">
        <v>348</v>
      </c>
      <c r="B175" t="s">
        <v>349</v>
      </c>
      <c r="C175" t="s">
        <v>23</v>
      </c>
      <c r="D175">
        <v>501</v>
      </c>
      <c r="E175" t="s">
        <v>295</v>
      </c>
      <c r="M175" t="s">
        <v>439</v>
      </c>
      <c r="N175" t="s">
        <v>440</v>
      </c>
      <c r="O175" t="s">
        <v>23</v>
      </c>
      <c r="P175">
        <v>502</v>
      </c>
      <c r="Q175" t="s">
        <v>412</v>
      </c>
    </row>
    <row r="176" spans="1:17">
      <c r="A176" s="2" t="s">
        <v>350</v>
      </c>
      <c r="B176" t="s">
        <v>351</v>
      </c>
      <c r="C176" t="s">
        <v>23</v>
      </c>
      <c r="D176">
        <v>501</v>
      </c>
      <c r="E176" t="s">
        <v>295</v>
      </c>
      <c r="M176" t="s">
        <v>441</v>
      </c>
      <c r="N176" t="s">
        <v>442</v>
      </c>
      <c r="O176" t="s">
        <v>23</v>
      </c>
      <c r="P176">
        <v>502</v>
      </c>
      <c r="Q176" t="s">
        <v>412</v>
      </c>
    </row>
    <row r="177" spans="1:17">
      <c r="A177" s="2" t="s">
        <v>352</v>
      </c>
      <c r="B177" t="s">
        <v>353</v>
      </c>
      <c r="C177" t="s">
        <v>23</v>
      </c>
      <c r="D177">
        <v>501</v>
      </c>
      <c r="E177" t="s">
        <v>295</v>
      </c>
      <c r="M177" t="s">
        <v>443</v>
      </c>
      <c r="N177" t="s">
        <v>444</v>
      </c>
      <c r="O177" t="s">
        <v>23</v>
      </c>
      <c r="P177">
        <v>502</v>
      </c>
      <c r="Q177" t="s">
        <v>412</v>
      </c>
    </row>
    <row r="178" spans="1:17">
      <c r="A178" s="2" t="s">
        <v>354</v>
      </c>
      <c r="B178" t="s">
        <v>355</v>
      </c>
      <c r="C178" t="s">
        <v>23</v>
      </c>
      <c r="D178">
        <v>501</v>
      </c>
      <c r="E178" t="s">
        <v>295</v>
      </c>
      <c r="M178" t="s">
        <v>445</v>
      </c>
      <c r="N178" t="s">
        <v>446</v>
      </c>
      <c r="O178" t="s">
        <v>23</v>
      </c>
      <c r="P178">
        <v>502</v>
      </c>
      <c r="Q178" t="s">
        <v>412</v>
      </c>
    </row>
    <row r="179" spans="1:17">
      <c r="A179" s="2" t="s">
        <v>356</v>
      </c>
      <c r="B179" t="s">
        <v>357</v>
      </c>
      <c r="C179" t="s">
        <v>23</v>
      </c>
      <c r="D179">
        <v>501</v>
      </c>
      <c r="E179" t="s">
        <v>295</v>
      </c>
      <c r="M179" t="s">
        <v>447</v>
      </c>
      <c r="N179" t="s">
        <v>448</v>
      </c>
      <c r="O179" t="s">
        <v>23</v>
      </c>
      <c r="P179">
        <v>502</v>
      </c>
      <c r="Q179" t="s">
        <v>412</v>
      </c>
    </row>
    <row r="180" spans="1:17">
      <c r="A180" s="2" t="s">
        <v>358</v>
      </c>
      <c r="B180" t="s">
        <v>359</v>
      </c>
      <c r="C180" t="s">
        <v>23</v>
      </c>
      <c r="D180">
        <v>501</v>
      </c>
      <c r="E180" t="s">
        <v>295</v>
      </c>
      <c r="M180" t="s">
        <v>449</v>
      </c>
      <c r="N180" t="s">
        <v>450</v>
      </c>
      <c r="O180" t="s">
        <v>23</v>
      </c>
      <c r="P180">
        <v>502</v>
      </c>
      <c r="Q180" t="s">
        <v>412</v>
      </c>
    </row>
    <row r="181" spans="1:17">
      <c r="A181" s="2" t="s">
        <v>360</v>
      </c>
      <c r="B181" t="s">
        <v>361</v>
      </c>
      <c r="C181" t="s">
        <v>23</v>
      </c>
      <c r="D181">
        <v>501</v>
      </c>
      <c r="E181" t="s">
        <v>295</v>
      </c>
      <c r="M181" t="s">
        <v>451</v>
      </c>
      <c r="N181" t="s">
        <v>452</v>
      </c>
      <c r="O181" t="s">
        <v>23</v>
      </c>
      <c r="P181">
        <v>502</v>
      </c>
      <c r="Q181" t="s">
        <v>412</v>
      </c>
    </row>
    <row r="182" spans="1:17">
      <c r="A182" s="2" t="s">
        <v>362</v>
      </c>
      <c r="B182" t="s">
        <v>363</v>
      </c>
      <c r="C182" t="s">
        <v>23</v>
      </c>
      <c r="D182">
        <v>501</v>
      </c>
      <c r="E182" t="s">
        <v>295</v>
      </c>
      <c r="M182" t="s">
        <v>453</v>
      </c>
      <c r="N182" t="s">
        <v>454</v>
      </c>
      <c r="O182" t="s">
        <v>23</v>
      </c>
      <c r="P182">
        <v>502</v>
      </c>
      <c r="Q182" t="s">
        <v>412</v>
      </c>
    </row>
    <row r="183" spans="1:17">
      <c r="A183" s="2" t="s">
        <v>364</v>
      </c>
      <c r="B183" t="s">
        <v>365</v>
      </c>
      <c r="C183" t="s">
        <v>23</v>
      </c>
      <c r="D183">
        <v>501</v>
      </c>
      <c r="E183" t="s">
        <v>295</v>
      </c>
      <c r="M183" t="s">
        <v>455</v>
      </c>
      <c r="N183" t="s">
        <v>456</v>
      </c>
      <c r="O183" t="s">
        <v>23</v>
      </c>
      <c r="P183">
        <v>502</v>
      </c>
      <c r="Q183" t="s">
        <v>412</v>
      </c>
    </row>
    <row r="184" spans="1:17">
      <c r="A184" s="2" t="s">
        <v>366</v>
      </c>
      <c r="B184" t="s">
        <v>367</v>
      </c>
      <c r="C184" t="s">
        <v>23</v>
      </c>
      <c r="D184">
        <v>501</v>
      </c>
      <c r="E184" t="s">
        <v>295</v>
      </c>
      <c r="M184" t="s">
        <v>457</v>
      </c>
      <c r="N184" t="s">
        <v>458</v>
      </c>
      <c r="O184" t="s">
        <v>23</v>
      </c>
      <c r="P184">
        <v>502</v>
      </c>
      <c r="Q184" t="s">
        <v>412</v>
      </c>
    </row>
    <row r="185" spans="1:17">
      <c r="A185" s="2" t="s">
        <v>368</v>
      </c>
      <c r="B185" t="s">
        <v>369</v>
      </c>
      <c r="C185" t="s">
        <v>23</v>
      </c>
      <c r="D185">
        <v>501</v>
      </c>
      <c r="E185" t="s">
        <v>295</v>
      </c>
      <c r="M185" t="s">
        <v>459</v>
      </c>
      <c r="N185" t="s">
        <v>460</v>
      </c>
      <c r="O185" t="s">
        <v>23</v>
      </c>
      <c r="P185">
        <v>502</v>
      </c>
      <c r="Q185" t="s">
        <v>412</v>
      </c>
    </row>
    <row r="186" spans="1:17">
      <c r="A186" s="2" t="s">
        <v>370</v>
      </c>
      <c r="B186" t="s">
        <v>371</v>
      </c>
      <c r="C186" t="s">
        <v>23</v>
      </c>
      <c r="D186">
        <v>501</v>
      </c>
      <c r="E186" t="s">
        <v>295</v>
      </c>
      <c r="M186" t="s">
        <v>461</v>
      </c>
      <c r="N186" t="s">
        <v>462</v>
      </c>
      <c r="O186" t="s">
        <v>23</v>
      </c>
      <c r="P186">
        <v>502</v>
      </c>
      <c r="Q186" t="s">
        <v>412</v>
      </c>
    </row>
    <row r="187" spans="1:17">
      <c r="A187" s="2" t="s">
        <v>372</v>
      </c>
      <c r="B187" t="s">
        <v>373</v>
      </c>
      <c r="C187" t="s">
        <v>23</v>
      </c>
      <c r="D187">
        <v>501</v>
      </c>
      <c r="E187" t="s">
        <v>295</v>
      </c>
      <c r="M187" t="s">
        <v>463</v>
      </c>
      <c r="N187" t="s">
        <v>464</v>
      </c>
      <c r="O187" t="s">
        <v>23</v>
      </c>
      <c r="P187">
        <v>502</v>
      </c>
      <c r="Q187" t="s">
        <v>412</v>
      </c>
    </row>
    <row r="188" spans="1:17">
      <c r="A188" s="2" t="s">
        <v>374</v>
      </c>
      <c r="B188" t="s">
        <v>375</v>
      </c>
      <c r="C188" t="s">
        <v>23</v>
      </c>
      <c r="D188">
        <v>501</v>
      </c>
      <c r="E188" t="s">
        <v>295</v>
      </c>
      <c r="M188" t="s">
        <v>465</v>
      </c>
      <c r="N188" t="s">
        <v>466</v>
      </c>
      <c r="O188" t="s">
        <v>23</v>
      </c>
      <c r="P188">
        <v>502</v>
      </c>
      <c r="Q188" t="s">
        <v>412</v>
      </c>
    </row>
    <row r="189" spans="1:17">
      <c r="A189" s="2" t="s">
        <v>376</v>
      </c>
      <c r="B189" t="s">
        <v>377</v>
      </c>
      <c r="C189" t="s">
        <v>23</v>
      </c>
      <c r="D189">
        <v>501</v>
      </c>
      <c r="E189" t="s">
        <v>295</v>
      </c>
      <c r="M189" t="s">
        <v>467</v>
      </c>
      <c r="N189" t="s">
        <v>468</v>
      </c>
      <c r="O189" t="s">
        <v>23</v>
      </c>
      <c r="P189">
        <v>502</v>
      </c>
      <c r="Q189" t="s">
        <v>412</v>
      </c>
    </row>
    <row r="190" spans="1:17">
      <c r="A190" s="2" t="s">
        <v>378</v>
      </c>
      <c r="B190" t="s">
        <v>379</v>
      </c>
      <c r="C190" t="s">
        <v>23</v>
      </c>
      <c r="D190">
        <v>501</v>
      </c>
      <c r="E190" t="s">
        <v>295</v>
      </c>
      <c r="M190" t="s">
        <v>469</v>
      </c>
      <c r="N190" t="s">
        <v>470</v>
      </c>
      <c r="O190" t="s">
        <v>23</v>
      </c>
      <c r="P190">
        <v>502</v>
      </c>
      <c r="Q190" t="s">
        <v>412</v>
      </c>
    </row>
    <row r="191" spans="1:17">
      <c r="A191" s="2" t="s">
        <v>380</v>
      </c>
      <c r="B191" t="s">
        <v>381</v>
      </c>
      <c r="C191" t="s">
        <v>23</v>
      </c>
      <c r="D191">
        <v>501</v>
      </c>
      <c r="E191" t="s">
        <v>295</v>
      </c>
      <c r="M191" t="s">
        <v>471</v>
      </c>
      <c r="N191" t="s">
        <v>472</v>
      </c>
      <c r="O191" t="s">
        <v>23</v>
      </c>
      <c r="P191">
        <v>502</v>
      </c>
      <c r="Q191" t="s">
        <v>412</v>
      </c>
    </row>
    <row r="192" spans="1:17">
      <c r="A192" s="2" t="s">
        <v>382</v>
      </c>
      <c r="B192" t="s">
        <v>383</v>
      </c>
      <c r="C192" t="s">
        <v>23</v>
      </c>
      <c r="D192">
        <v>500</v>
      </c>
      <c r="E192" t="s">
        <v>295</v>
      </c>
      <c r="M192" t="s">
        <v>473</v>
      </c>
      <c r="N192" t="s">
        <v>474</v>
      </c>
      <c r="O192" t="s">
        <v>23</v>
      </c>
      <c r="P192">
        <v>502</v>
      </c>
      <c r="Q192" t="s">
        <v>412</v>
      </c>
    </row>
    <row r="193" spans="1:17">
      <c r="A193" s="2" t="s">
        <v>384</v>
      </c>
      <c r="B193" t="s">
        <v>385</v>
      </c>
      <c r="C193" t="s">
        <v>23</v>
      </c>
      <c r="D193">
        <v>500</v>
      </c>
      <c r="E193" t="s">
        <v>295</v>
      </c>
      <c r="M193" t="s">
        <v>475</v>
      </c>
      <c r="N193" t="s">
        <v>476</v>
      </c>
      <c r="O193" t="s">
        <v>23</v>
      </c>
      <c r="P193">
        <v>502</v>
      </c>
      <c r="Q193" t="s">
        <v>412</v>
      </c>
    </row>
    <row r="194" spans="1:17">
      <c r="A194" s="2" t="s">
        <v>386</v>
      </c>
      <c r="B194" t="s">
        <v>387</v>
      </c>
      <c r="C194" t="s">
        <v>23</v>
      </c>
      <c r="D194">
        <v>500</v>
      </c>
      <c r="E194" t="s">
        <v>295</v>
      </c>
      <c r="M194" t="s">
        <v>477</v>
      </c>
      <c r="N194" t="s">
        <v>478</v>
      </c>
      <c r="O194" t="s">
        <v>23</v>
      </c>
      <c r="P194">
        <v>502</v>
      </c>
      <c r="Q194" t="s">
        <v>412</v>
      </c>
    </row>
    <row r="195" spans="1:17">
      <c r="A195" s="2" t="s">
        <v>388</v>
      </c>
      <c r="B195" t="s">
        <v>389</v>
      </c>
      <c r="C195" t="s">
        <v>23</v>
      </c>
      <c r="D195">
        <v>500</v>
      </c>
      <c r="E195" t="s">
        <v>295</v>
      </c>
      <c r="M195" t="s">
        <v>479</v>
      </c>
      <c r="N195" t="s">
        <v>480</v>
      </c>
      <c r="O195" t="s">
        <v>23</v>
      </c>
      <c r="P195">
        <v>502</v>
      </c>
      <c r="Q195" t="s">
        <v>412</v>
      </c>
    </row>
    <row r="196" spans="1:17">
      <c r="A196" s="2" t="s">
        <v>390</v>
      </c>
      <c r="B196" t="s">
        <v>391</v>
      </c>
      <c r="C196" t="s">
        <v>23</v>
      </c>
      <c r="D196">
        <v>500</v>
      </c>
      <c r="E196" t="s">
        <v>295</v>
      </c>
      <c r="M196" t="s">
        <v>481</v>
      </c>
      <c r="N196" t="s">
        <v>482</v>
      </c>
      <c r="O196" t="s">
        <v>23</v>
      </c>
      <c r="P196">
        <v>502</v>
      </c>
      <c r="Q196" t="s">
        <v>412</v>
      </c>
    </row>
    <row r="197" spans="1:17">
      <c r="A197" s="2" t="s">
        <v>392</v>
      </c>
      <c r="B197" t="s">
        <v>393</v>
      </c>
      <c r="C197" t="s">
        <v>23</v>
      </c>
      <c r="D197">
        <v>500</v>
      </c>
      <c r="E197" t="s">
        <v>295</v>
      </c>
      <c r="M197" t="s">
        <v>483</v>
      </c>
      <c r="N197" t="s">
        <v>484</v>
      </c>
      <c r="O197" t="s">
        <v>23</v>
      </c>
      <c r="P197">
        <v>502</v>
      </c>
      <c r="Q197" t="s">
        <v>412</v>
      </c>
    </row>
    <row r="198" spans="1:17">
      <c r="A198" s="2" t="s">
        <v>394</v>
      </c>
      <c r="B198" t="s">
        <v>395</v>
      </c>
      <c r="C198" t="s">
        <v>23</v>
      </c>
      <c r="D198">
        <v>500</v>
      </c>
      <c r="E198" t="s">
        <v>295</v>
      </c>
      <c r="M198" t="s">
        <v>485</v>
      </c>
      <c r="N198" t="s">
        <v>486</v>
      </c>
      <c r="O198" t="s">
        <v>23</v>
      </c>
      <c r="P198">
        <v>502</v>
      </c>
      <c r="Q198" t="s">
        <v>412</v>
      </c>
    </row>
    <row r="199" spans="1:17">
      <c r="A199" s="2" t="s">
        <v>396</v>
      </c>
      <c r="B199" t="s">
        <v>397</v>
      </c>
      <c r="C199" t="s">
        <v>23</v>
      </c>
      <c r="D199">
        <v>500</v>
      </c>
      <c r="E199" t="s">
        <v>295</v>
      </c>
      <c r="M199" t="s">
        <v>487</v>
      </c>
      <c r="N199" t="s">
        <v>488</v>
      </c>
      <c r="O199" t="s">
        <v>23</v>
      </c>
      <c r="P199">
        <v>502</v>
      </c>
      <c r="Q199" t="s">
        <v>412</v>
      </c>
    </row>
    <row r="200" spans="1:17">
      <c r="A200" s="2" t="s">
        <v>398</v>
      </c>
      <c r="B200" t="s">
        <v>399</v>
      </c>
      <c r="C200" t="s">
        <v>23</v>
      </c>
      <c r="D200">
        <v>500</v>
      </c>
      <c r="E200" t="s">
        <v>295</v>
      </c>
      <c r="M200" t="s">
        <v>489</v>
      </c>
      <c r="N200" t="s">
        <v>490</v>
      </c>
      <c r="O200" t="s">
        <v>23</v>
      </c>
      <c r="P200">
        <v>502</v>
      </c>
      <c r="Q200" t="s">
        <v>412</v>
      </c>
    </row>
    <row r="201" spans="1:17">
      <c r="A201" s="2" t="s">
        <v>400</v>
      </c>
      <c r="B201" t="s">
        <v>401</v>
      </c>
      <c r="C201" t="s">
        <v>23</v>
      </c>
      <c r="D201">
        <v>500</v>
      </c>
      <c r="E201" t="s">
        <v>295</v>
      </c>
      <c r="M201" t="s">
        <v>491</v>
      </c>
      <c r="N201" t="s">
        <v>492</v>
      </c>
      <c r="O201" t="s">
        <v>23</v>
      </c>
      <c r="P201">
        <v>502</v>
      </c>
      <c r="Q201" t="s">
        <v>412</v>
      </c>
    </row>
    <row r="202" spans="1:17">
      <c r="A202" s="2" t="s">
        <v>402</v>
      </c>
      <c r="B202" t="s">
        <v>403</v>
      </c>
      <c r="C202" t="s">
        <v>23</v>
      </c>
      <c r="D202">
        <v>500</v>
      </c>
      <c r="E202" t="s">
        <v>295</v>
      </c>
      <c r="M202" t="s">
        <v>493</v>
      </c>
      <c r="N202" t="s">
        <v>494</v>
      </c>
      <c r="O202" t="s">
        <v>23</v>
      </c>
      <c r="P202">
        <v>502</v>
      </c>
      <c r="Q202" t="s">
        <v>412</v>
      </c>
    </row>
    <row r="203" spans="1:17">
      <c r="A203" s="2" t="s">
        <v>404</v>
      </c>
      <c r="B203" t="s">
        <v>405</v>
      </c>
      <c r="C203" t="s">
        <v>23</v>
      </c>
      <c r="D203">
        <v>500</v>
      </c>
      <c r="E203" t="s">
        <v>295</v>
      </c>
      <c r="M203" t="s">
        <v>495</v>
      </c>
      <c r="N203" t="s">
        <v>496</v>
      </c>
      <c r="O203" t="s">
        <v>23</v>
      </c>
      <c r="P203">
        <v>502</v>
      </c>
      <c r="Q203" t="s">
        <v>412</v>
      </c>
    </row>
    <row r="204" spans="1:17">
      <c r="A204" s="2" t="s">
        <v>406</v>
      </c>
      <c r="B204" t="s">
        <v>407</v>
      </c>
      <c r="C204" t="s">
        <v>23</v>
      </c>
      <c r="D204">
        <v>500</v>
      </c>
      <c r="E204" t="s">
        <v>295</v>
      </c>
      <c r="M204" t="s">
        <v>497</v>
      </c>
      <c r="N204" t="s">
        <v>498</v>
      </c>
      <c r="O204" t="s">
        <v>23</v>
      </c>
      <c r="P204">
        <v>502</v>
      </c>
      <c r="Q204" t="s">
        <v>412</v>
      </c>
    </row>
    <row r="205" spans="1:17">
      <c r="A205" s="2" t="s">
        <v>408</v>
      </c>
      <c r="B205" t="s">
        <v>409</v>
      </c>
      <c r="C205" t="s">
        <v>23</v>
      </c>
      <c r="D205">
        <v>500</v>
      </c>
      <c r="E205" t="s">
        <v>295</v>
      </c>
      <c r="M205" t="s">
        <v>499</v>
      </c>
      <c r="N205" t="s">
        <v>500</v>
      </c>
      <c r="O205" t="s">
        <v>23</v>
      </c>
      <c r="P205">
        <v>502</v>
      </c>
      <c r="Q205" t="s">
        <v>412</v>
      </c>
    </row>
    <row r="206" spans="1:17">
      <c r="A206" s="2" t="s">
        <v>410</v>
      </c>
      <c r="B206" t="s">
        <v>411</v>
      </c>
      <c r="C206" t="s">
        <v>23</v>
      </c>
      <c r="D206">
        <v>502</v>
      </c>
      <c r="E206" t="s">
        <v>412</v>
      </c>
      <c r="M206" t="s">
        <v>501</v>
      </c>
      <c r="N206" t="s">
        <v>502</v>
      </c>
      <c r="O206" t="s">
        <v>23</v>
      </c>
      <c r="P206">
        <v>502</v>
      </c>
      <c r="Q206" t="s">
        <v>412</v>
      </c>
    </row>
    <row r="207" spans="1:17">
      <c r="A207" s="2" t="s">
        <v>413</v>
      </c>
      <c r="B207" t="s">
        <v>414</v>
      </c>
      <c r="C207" t="s">
        <v>23</v>
      </c>
      <c r="D207">
        <v>502</v>
      </c>
      <c r="E207" t="s">
        <v>412</v>
      </c>
      <c r="M207" t="s">
        <v>503</v>
      </c>
      <c r="N207" t="s">
        <v>504</v>
      </c>
      <c r="O207" t="s">
        <v>23</v>
      </c>
      <c r="P207">
        <v>502</v>
      </c>
      <c r="Q207" t="s">
        <v>412</v>
      </c>
    </row>
    <row r="208" spans="1:17">
      <c r="A208" s="2" t="s">
        <v>415</v>
      </c>
      <c r="B208" t="s">
        <v>416</v>
      </c>
      <c r="C208" t="s">
        <v>23</v>
      </c>
      <c r="D208">
        <v>502</v>
      </c>
      <c r="E208" t="s">
        <v>412</v>
      </c>
      <c r="M208" t="s">
        <v>505</v>
      </c>
      <c r="N208" t="s">
        <v>506</v>
      </c>
      <c r="O208" t="s">
        <v>23</v>
      </c>
      <c r="P208">
        <v>502</v>
      </c>
      <c r="Q208" t="s">
        <v>412</v>
      </c>
    </row>
    <row r="209" spans="1:17">
      <c r="A209" s="2" t="s">
        <v>417</v>
      </c>
      <c r="B209" t="s">
        <v>418</v>
      </c>
      <c r="C209" t="s">
        <v>23</v>
      </c>
      <c r="D209">
        <v>502</v>
      </c>
      <c r="E209" t="s">
        <v>412</v>
      </c>
      <c r="M209" t="s">
        <v>507</v>
      </c>
      <c r="N209" t="s">
        <v>508</v>
      </c>
      <c r="O209" t="s">
        <v>23</v>
      </c>
      <c r="P209">
        <v>502</v>
      </c>
      <c r="Q209" t="s">
        <v>412</v>
      </c>
    </row>
    <row r="210" spans="1:17">
      <c r="A210" s="2" t="s">
        <v>419</v>
      </c>
      <c r="B210" t="s">
        <v>420</v>
      </c>
      <c r="C210" t="s">
        <v>23</v>
      </c>
      <c r="D210">
        <v>502</v>
      </c>
      <c r="E210" t="s">
        <v>412</v>
      </c>
      <c r="M210" t="s">
        <v>509</v>
      </c>
      <c r="N210" t="s">
        <v>510</v>
      </c>
      <c r="O210" t="s">
        <v>23</v>
      </c>
      <c r="P210">
        <v>502</v>
      </c>
      <c r="Q210" t="s">
        <v>412</v>
      </c>
    </row>
    <row r="211" spans="1:17">
      <c r="A211" s="2" t="s">
        <v>421</v>
      </c>
      <c r="B211" t="s">
        <v>422</v>
      </c>
      <c r="C211" t="s">
        <v>23</v>
      </c>
      <c r="D211">
        <v>502</v>
      </c>
      <c r="E211" t="s">
        <v>412</v>
      </c>
      <c r="M211" t="s">
        <v>511</v>
      </c>
      <c r="N211" t="s">
        <v>512</v>
      </c>
      <c r="O211" t="s">
        <v>23</v>
      </c>
      <c r="P211">
        <v>502</v>
      </c>
      <c r="Q211" t="s">
        <v>412</v>
      </c>
    </row>
    <row r="212" spans="1:17">
      <c r="A212" s="2" t="s">
        <v>423</v>
      </c>
      <c r="B212" t="s">
        <v>424</v>
      </c>
      <c r="C212" t="s">
        <v>23</v>
      </c>
      <c r="D212">
        <v>502</v>
      </c>
      <c r="E212" t="s">
        <v>412</v>
      </c>
      <c r="M212" t="s">
        <v>513</v>
      </c>
      <c r="N212" t="s">
        <v>514</v>
      </c>
      <c r="O212" t="s">
        <v>23</v>
      </c>
      <c r="P212">
        <v>502</v>
      </c>
      <c r="Q212" t="s">
        <v>412</v>
      </c>
    </row>
    <row r="213" spans="1:17">
      <c r="A213" s="2" t="s">
        <v>425</v>
      </c>
      <c r="B213" t="s">
        <v>426</v>
      </c>
      <c r="C213" t="s">
        <v>23</v>
      </c>
      <c r="D213">
        <v>502</v>
      </c>
      <c r="E213" t="s">
        <v>412</v>
      </c>
      <c r="M213" t="s">
        <v>515</v>
      </c>
      <c r="N213" t="s">
        <v>516</v>
      </c>
      <c r="O213" t="s">
        <v>23</v>
      </c>
      <c r="P213">
        <v>502</v>
      </c>
      <c r="Q213" t="s">
        <v>412</v>
      </c>
    </row>
    <row r="214" spans="1:17">
      <c r="A214" s="2" t="s">
        <v>427</v>
      </c>
      <c r="B214" t="s">
        <v>428</v>
      </c>
      <c r="C214" t="s">
        <v>23</v>
      </c>
      <c r="D214">
        <v>502</v>
      </c>
      <c r="E214" t="s">
        <v>412</v>
      </c>
      <c r="M214" t="s">
        <v>517</v>
      </c>
      <c r="N214" t="s">
        <v>518</v>
      </c>
      <c r="O214" t="s">
        <v>23</v>
      </c>
      <c r="P214">
        <v>502</v>
      </c>
      <c r="Q214" t="s">
        <v>412</v>
      </c>
    </row>
    <row r="215" spans="1:17">
      <c r="A215" s="2" t="s">
        <v>429</v>
      </c>
      <c r="B215" t="s">
        <v>430</v>
      </c>
      <c r="C215" t="s">
        <v>23</v>
      </c>
      <c r="D215">
        <v>502</v>
      </c>
      <c r="E215" t="s">
        <v>412</v>
      </c>
      <c r="M215" t="s">
        <v>519</v>
      </c>
      <c r="N215" t="s">
        <v>520</v>
      </c>
      <c r="O215" t="s">
        <v>23</v>
      </c>
      <c r="P215">
        <v>502</v>
      </c>
      <c r="Q215" t="s">
        <v>412</v>
      </c>
    </row>
    <row r="216" spans="1:17">
      <c r="A216" s="2" t="s">
        <v>431</v>
      </c>
      <c r="B216" t="s">
        <v>432</v>
      </c>
      <c r="C216" t="s">
        <v>23</v>
      </c>
      <c r="D216">
        <v>502</v>
      </c>
      <c r="E216" t="s">
        <v>412</v>
      </c>
      <c r="M216" t="s">
        <v>521</v>
      </c>
      <c r="N216" t="s">
        <v>522</v>
      </c>
      <c r="O216" t="s">
        <v>23</v>
      </c>
      <c r="P216">
        <v>502</v>
      </c>
      <c r="Q216" t="s">
        <v>412</v>
      </c>
    </row>
    <row r="217" spans="1:17">
      <c r="A217" s="2" t="s">
        <v>433</v>
      </c>
      <c r="B217" t="s">
        <v>434</v>
      </c>
      <c r="C217" t="s">
        <v>23</v>
      </c>
      <c r="D217">
        <v>502</v>
      </c>
      <c r="E217" t="s">
        <v>412</v>
      </c>
      <c r="M217" t="s">
        <v>523</v>
      </c>
      <c r="N217" t="s">
        <v>524</v>
      </c>
      <c r="O217" t="s">
        <v>23</v>
      </c>
      <c r="P217">
        <v>502</v>
      </c>
      <c r="Q217" t="s">
        <v>412</v>
      </c>
    </row>
    <row r="218" spans="1:17">
      <c r="A218" s="2" t="s">
        <v>435</v>
      </c>
      <c r="B218" t="s">
        <v>436</v>
      </c>
      <c r="C218" t="s">
        <v>23</v>
      </c>
      <c r="D218">
        <v>502</v>
      </c>
      <c r="E218" t="s">
        <v>412</v>
      </c>
      <c r="M218" t="s">
        <v>525</v>
      </c>
      <c r="N218" t="s">
        <v>526</v>
      </c>
      <c r="O218" t="s">
        <v>23</v>
      </c>
      <c r="P218">
        <v>502</v>
      </c>
      <c r="Q218" t="s">
        <v>412</v>
      </c>
    </row>
    <row r="219" spans="1:17">
      <c r="A219" s="2" t="s">
        <v>437</v>
      </c>
      <c r="B219" t="s">
        <v>438</v>
      </c>
      <c r="C219" t="s">
        <v>23</v>
      </c>
      <c r="D219">
        <v>502</v>
      </c>
      <c r="E219" t="s">
        <v>412</v>
      </c>
      <c r="M219" t="s">
        <v>527</v>
      </c>
      <c r="N219" t="s">
        <v>528</v>
      </c>
      <c r="O219" t="s">
        <v>23</v>
      </c>
      <c r="P219">
        <v>502</v>
      </c>
      <c r="Q219" t="s">
        <v>412</v>
      </c>
    </row>
    <row r="220" spans="1:17">
      <c r="A220" s="2" t="s">
        <v>439</v>
      </c>
      <c r="B220" t="s">
        <v>440</v>
      </c>
      <c r="C220" t="s">
        <v>23</v>
      </c>
      <c r="D220">
        <v>502</v>
      </c>
      <c r="E220" t="s">
        <v>412</v>
      </c>
      <c r="M220" t="s">
        <v>529</v>
      </c>
      <c r="N220" t="s">
        <v>530</v>
      </c>
      <c r="O220" t="s">
        <v>23</v>
      </c>
      <c r="P220">
        <v>502</v>
      </c>
      <c r="Q220" t="s">
        <v>412</v>
      </c>
    </row>
    <row r="221" spans="1:17">
      <c r="A221" s="2" t="s">
        <v>441</v>
      </c>
      <c r="B221" t="s">
        <v>442</v>
      </c>
      <c r="C221" t="s">
        <v>23</v>
      </c>
      <c r="D221">
        <v>502</v>
      </c>
      <c r="E221" t="s">
        <v>412</v>
      </c>
      <c r="M221" t="s">
        <v>531</v>
      </c>
      <c r="N221" t="s">
        <v>532</v>
      </c>
      <c r="O221" t="s">
        <v>23</v>
      </c>
      <c r="P221">
        <v>502</v>
      </c>
      <c r="Q221" t="s">
        <v>412</v>
      </c>
    </row>
    <row r="222" spans="1:17">
      <c r="A222" s="2" t="s">
        <v>443</v>
      </c>
      <c r="B222" t="s">
        <v>444</v>
      </c>
      <c r="C222" t="s">
        <v>23</v>
      </c>
      <c r="D222">
        <v>502</v>
      </c>
      <c r="E222" t="s">
        <v>412</v>
      </c>
      <c r="M222" t="s">
        <v>533</v>
      </c>
      <c r="N222" t="s">
        <v>534</v>
      </c>
      <c r="O222" t="s">
        <v>23</v>
      </c>
      <c r="P222">
        <v>502</v>
      </c>
      <c r="Q222" t="s">
        <v>412</v>
      </c>
    </row>
    <row r="223" spans="1:17">
      <c r="A223" s="2" t="s">
        <v>445</v>
      </c>
      <c r="B223" t="s">
        <v>446</v>
      </c>
      <c r="C223" t="s">
        <v>23</v>
      </c>
      <c r="D223">
        <v>502</v>
      </c>
      <c r="E223" t="s">
        <v>412</v>
      </c>
      <c r="M223" t="s">
        <v>535</v>
      </c>
      <c r="N223" t="s">
        <v>536</v>
      </c>
      <c r="O223" t="s">
        <v>23</v>
      </c>
      <c r="P223">
        <v>502</v>
      </c>
      <c r="Q223" t="s">
        <v>412</v>
      </c>
    </row>
    <row r="224" spans="1:17">
      <c r="A224" s="2" t="s">
        <v>447</v>
      </c>
      <c r="B224" t="s">
        <v>448</v>
      </c>
      <c r="C224" t="s">
        <v>23</v>
      </c>
      <c r="D224">
        <v>502</v>
      </c>
      <c r="E224" t="s">
        <v>412</v>
      </c>
      <c r="M224" t="s">
        <v>537</v>
      </c>
      <c r="N224" t="s">
        <v>538</v>
      </c>
      <c r="O224" t="s">
        <v>23</v>
      </c>
      <c r="P224">
        <v>502</v>
      </c>
      <c r="Q224" t="s">
        <v>412</v>
      </c>
    </row>
    <row r="225" spans="1:17">
      <c r="A225" s="2" t="s">
        <v>449</v>
      </c>
      <c r="B225" t="s">
        <v>450</v>
      </c>
      <c r="C225" t="s">
        <v>23</v>
      </c>
      <c r="D225">
        <v>502</v>
      </c>
      <c r="E225" t="s">
        <v>412</v>
      </c>
      <c r="M225" t="s">
        <v>539</v>
      </c>
      <c r="N225" t="s">
        <v>540</v>
      </c>
      <c r="O225" t="s">
        <v>23</v>
      </c>
      <c r="P225">
        <v>502</v>
      </c>
      <c r="Q225" t="s">
        <v>412</v>
      </c>
    </row>
    <row r="226" spans="1:17">
      <c r="A226" s="2" t="s">
        <v>451</v>
      </c>
      <c r="B226" t="s">
        <v>452</v>
      </c>
      <c r="C226" t="s">
        <v>23</v>
      </c>
      <c r="D226">
        <v>502</v>
      </c>
      <c r="E226" t="s">
        <v>412</v>
      </c>
      <c r="M226" t="s">
        <v>541</v>
      </c>
      <c r="N226" t="s">
        <v>542</v>
      </c>
      <c r="O226" t="s">
        <v>23</v>
      </c>
      <c r="P226">
        <v>502</v>
      </c>
      <c r="Q226" t="s">
        <v>412</v>
      </c>
    </row>
    <row r="227" spans="1:17">
      <c r="A227" s="2" t="s">
        <v>453</v>
      </c>
      <c r="B227" t="s">
        <v>454</v>
      </c>
      <c r="C227" t="s">
        <v>23</v>
      </c>
      <c r="D227">
        <v>502</v>
      </c>
      <c r="E227" t="s">
        <v>412</v>
      </c>
      <c r="M227" t="s">
        <v>543</v>
      </c>
      <c r="N227" t="s">
        <v>544</v>
      </c>
      <c r="O227" t="s">
        <v>23</v>
      </c>
      <c r="P227">
        <v>502</v>
      </c>
      <c r="Q227" t="s">
        <v>412</v>
      </c>
    </row>
    <row r="228" spans="1:17">
      <c r="A228" s="2" t="s">
        <v>455</v>
      </c>
      <c r="B228" t="s">
        <v>456</v>
      </c>
      <c r="C228" t="s">
        <v>23</v>
      </c>
      <c r="D228">
        <v>502</v>
      </c>
      <c r="E228" t="s">
        <v>412</v>
      </c>
      <c r="M228" t="s">
        <v>545</v>
      </c>
      <c r="N228" t="s">
        <v>546</v>
      </c>
      <c r="O228" t="s">
        <v>23</v>
      </c>
      <c r="P228">
        <v>502</v>
      </c>
      <c r="Q228" t="s">
        <v>412</v>
      </c>
    </row>
    <row r="229" spans="1:17">
      <c r="A229" s="2" t="s">
        <v>457</v>
      </c>
      <c r="B229" t="s">
        <v>458</v>
      </c>
      <c r="C229" t="s">
        <v>23</v>
      </c>
      <c r="D229">
        <v>502</v>
      </c>
      <c r="E229" t="s">
        <v>412</v>
      </c>
      <c r="M229" t="s">
        <v>547</v>
      </c>
      <c r="N229" t="s">
        <v>548</v>
      </c>
      <c r="O229" t="s">
        <v>23</v>
      </c>
      <c r="P229">
        <v>502</v>
      </c>
      <c r="Q229" t="s">
        <v>412</v>
      </c>
    </row>
    <row r="230" spans="1:17">
      <c r="A230" s="2" t="s">
        <v>459</v>
      </c>
      <c r="B230" t="s">
        <v>460</v>
      </c>
      <c r="C230" t="s">
        <v>23</v>
      </c>
      <c r="D230">
        <v>502</v>
      </c>
      <c r="E230" t="s">
        <v>412</v>
      </c>
      <c r="M230" t="s">
        <v>549</v>
      </c>
      <c r="N230" t="s">
        <v>550</v>
      </c>
      <c r="O230" t="s">
        <v>23</v>
      </c>
      <c r="P230">
        <v>502</v>
      </c>
      <c r="Q230" t="s">
        <v>412</v>
      </c>
    </row>
    <row r="231" spans="1:17">
      <c r="A231" s="2" t="s">
        <v>461</v>
      </c>
      <c r="B231" t="s">
        <v>462</v>
      </c>
      <c r="C231" t="s">
        <v>23</v>
      </c>
      <c r="D231">
        <v>502</v>
      </c>
      <c r="E231" t="s">
        <v>412</v>
      </c>
      <c r="M231" t="s">
        <v>551</v>
      </c>
      <c r="N231" t="s">
        <v>552</v>
      </c>
      <c r="O231" t="s">
        <v>23</v>
      </c>
      <c r="P231">
        <v>502</v>
      </c>
      <c r="Q231" t="s">
        <v>412</v>
      </c>
    </row>
    <row r="232" spans="1:17">
      <c r="A232" s="2" t="s">
        <v>463</v>
      </c>
      <c r="B232" t="s">
        <v>464</v>
      </c>
      <c r="C232" t="s">
        <v>23</v>
      </c>
      <c r="D232">
        <v>502</v>
      </c>
      <c r="E232" t="s">
        <v>412</v>
      </c>
      <c r="M232" t="s">
        <v>553</v>
      </c>
      <c r="N232" t="s">
        <v>554</v>
      </c>
      <c r="O232" t="s">
        <v>23</v>
      </c>
      <c r="P232">
        <v>502</v>
      </c>
      <c r="Q232" t="s">
        <v>412</v>
      </c>
    </row>
    <row r="233" spans="1:17">
      <c r="A233" s="2" t="s">
        <v>465</v>
      </c>
      <c r="B233" t="s">
        <v>466</v>
      </c>
      <c r="C233" t="s">
        <v>23</v>
      </c>
      <c r="D233">
        <v>502</v>
      </c>
      <c r="E233" t="s">
        <v>412</v>
      </c>
      <c r="M233" t="s">
        <v>555</v>
      </c>
      <c r="N233" t="s">
        <v>556</v>
      </c>
      <c r="O233" t="s">
        <v>23</v>
      </c>
      <c r="P233">
        <v>502</v>
      </c>
      <c r="Q233" t="s">
        <v>412</v>
      </c>
    </row>
    <row r="234" spans="1:17">
      <c r="A234" s="2" t="s">
        <v>467</v>
      </c>
      <c r="B234" t="s">
        <v>468</v>
      </c>
      <c r="C234" t="s">
        <v>23</v>
      </c>
      <c r="D234">
        <v>502</v>
      </c>
      <c r="E234" t="s">
        <v>412</v>
      </c>
      <c r="M234" t="s">
        <v>692</v>
      </c>
      <c r="N234" t="s">
        <v>693</v>
      </c>
      <c r="O234" t="s">
        <v>23</v>
      </c>
      <c r="P234">
        <v>502</v>
      </c>
      <c r="Q234" t="s">
        <v>412</v>
      </c>
    </row>
    <row r="235" spans="1:17">
      <c r="A235" s="2" t="s">
        <v>469</v>
      </c>
      <c r="B235" t="s">
        <v>470</v>
      </c>
      <c r="C235" t="s">
        <v>23</v>
      </c>
      <c r="D235">
        <v>502</v>
      </c>
      <c r="E235" t="s">
        <v>412</v>
      </c>
      <c r="M235" t="s">
        <v>694</v>
      </c>
      <c r="N235" t="s">
        <v>695</v>
      </c>
      <c r="O235" t="s">
        <v>23</v>
      </c>
      <c r="P235">
        <v>502</v>
      </c>
      <c r="Q235" t="s">
        <v>412</v>
      </c>
    </row>
    <row r="236" spans="1:17">
      <c r="A236" s="2" t="s">
        <v>471</v>
      </c>
      <c r="B236" t="s">
        <v>472</v>
      </c>
      <c r="C236" t="s">
        <v>23</v>
      </c>
      <c r="D236">
        <v>502</v>
      </c>
      <c r="E236" t="s">
        <v>412</v>
      </c>
    </row>
    <row r="237" spans="1:17">
      <c r="A237" s="2" t="s">
        <v>473</v>
      </c>
      <c r="B237" t="s">
        <v>474</v>
      </c>
      <c r="C237" t="s">
        <v>23</v>
      </c>
      <c r="D237">
        <v>502</v>
      </c>
      <c r="E237" t="s">
        <v>412</v>
      </c>
      <c r="J237" t="s">
        <v>712</v>
      </c>
      <c r="K237" t="s">
        <v>707</v>
      </c>
      <c r="M237" s="2" t="s">
        <v>92</v>
      </c>
      <c r="N237" t="s">
        <v>93</v>
      </c>
      <c r="O237" t="s">
        <v>23</v>
      </c>
      <c r="P237">
        <v>34</v>
      </c>
      <c r="Q237" t="s">
        <v>94</v>
      </c>
    </row>
    <row r="238" spans="1:17">
      <c r="A238" s="2" t="s">
        <v>475</v>
      </c>
      <c r="B238" t="s">
        <v>476</v>
      </c>
      <c r="C238" t="s">
        <v>23</v>
      </c>
      <c r="D238">
        <v>502</v>
      </c>
      <c r="E238" t="s">
        <v>412</v>
      </c>
      <c r="M238" s="2" t="s">
        <v>95</v>
      </c>
      <c r="N238" t="s">
        <v>96</v>
      </c>
      <c r="O238">
        <v>0</v>
      </c>
      <c r="P238">
        <v>34</v>
      </c>
      <c r="Q238" t="s">
        <v>94</v>
      </c>
    </row>
    <row r="239" spans="1:17">
      <c r="A239" s="2" t="s">
        <v>477</v>
      </c>
      <c r="B239" t="s">
        <v>478</v>
      </c>
      <c r="C239" t="s">
        <v>23</v>
      </c>
      <c r="D239">
        <v>502</v>
      </c>
      <c r="E239" t="s">
        <v>412</v>
      </c>
      <c r="M239" s="2" t="s">
        <v>97</v>
      </c>
      <c r="N239" t="s">
        <v>98</v>
      </c>
      <c r="O239">
        <v>0</v>
      </c>
      <c r="P239">
        <v>34</v>
      </c>
      <c r="Q239" t="s">
        <v>94</v>
      </c>
    </row>
    <row r="240" spans="1:17">
      <c r="A240" s="2" t="s">
        <v>479</v>
      </c>
      <c r="B240" t="s">
        <v>480</v>
      </c>
      <c r="C240" t="s">
        <v>23</v>
      </c>
      <c r="D240">
        <v>502</v>
      </c>
      <c r="E240" t="s">
        <v>412</v>
      </c>
      <c r="M240" s="2" t="s">
        <v>99</v>
      </c>
      <c r="N240" t="s">
        <v>100</v>
      </c>
      <c r="O240">
        <v>0</v>
      </c>
      <c r="P240">
        <v>34</v>
      </c>
      <c r="Q240" t="s">
        <v>94</v>
      </c>
    </row>
    <row r="241" spans="1:17">
      <c r="A241" s="2" t="s">
        <v>481</v>
      </c>
      <c r="B241" t="s">
        <v>482</v>
      </c>
      <c r="C241" t="s">
        <v>23</v>
      </c>
      <c r="D241">
        <v>502</v>
      </c>
      <c r="E241" t="s">
        <v>412</v>
      </c>
      <c r="M241" s="2" t="s">
        <v>101</v>
      </c>
      <c r="N241" t="s">
        <v>102</v>
      </c>
      <c r="O241">
        <v>0</v>
      </c>
      <c r="P241">
        <v>34</v>
      </c>
      <c r="Q241" t="s">
        <v>94</v>
      </c>
    </row>
    <row r="242" spans="1:17">
      <c r="A242" s="2" t="s">
        <v>483</v>
      </c>
      <c r="B242" t="s">
        <v>484</v>
      </c>
      <c r="C242" t="s">
        <v>23</v>
      </c>
      <c r="D242">
        <v>502</v>
      </c>
      <c r="E242" t="s">
        <v>412</v>
      </c>
      <c r="M242" s="2" t="s">
        <v>103</v>
      </c>
      <c r="N242" t="s">
        <v>104</v>
      </c>
      <c r="O242">
        <v>0</v>
      </c>
      <c r="P242">
        <v>34</v>
      </c>
      <c r="Q242" t="s">
        <v>94</v>
      </c>
    </row>
    <row r="243" spans="1:17">
      <c r="A243" s="2" t="s">
        <v>485</v>
      </c>
      <c r="B243" t="s">
        <v>486</v>
      </c>
      <c r="C243" t="s">
        <v>23</v>
      </c>
      <c r="D243">
        <v>502</v>
      </c>
      <c r="E243" t="s">
        <v>412</v>
      </c>
      <c r="M243" s="2" t="s">
        <v>105</v>
      </c>
      <c r="N243" t="s">
        <v>106</v>
      </c>
      <c r="O243">
        <v>0</v>
      </c>
      <c r="P243">
        <v>34</v>
      </c>
      <c r="Q243" t="s">
        <v>94</v>
      </c>
    </row>
    <row r="244" spans="1:17">
      <c r="A244" s="2" t="s">
        <v>487</v>
      </c>
      <c r="B244" t="s">
        <v>488</v>
      </c>
      <c r="C244" t="s">
        <v>23</v>
      </c>
      <c r="D244">
        <v>502</v>
      </c>
      <c r="E244" t="s">
        <v>412</v>
      </c>
      <c r="M244" s="2" t="s">
        <v>107</v>
      </c>
      <c r="N244" t="s">
        <v>108</v>
      </c>
      <c r="O244">
        <v>0</v>
      </c>
      <c r="P244">
        <v>34</v>
      </c>
      <c r="Q244" t="s">
        <v>94</v>
      </c>
    </row>
    <row r="245" spans="1:17">
      <c r="A245" s="2" t="s">
        <v>489</v>
      </c>
      <c r="B245" t="s">
        <v>490</v>
      </c>
      <c r="C245" t="s">
        <v>23</v>
      </c>
      <c r="D245">
        <v>502</v>
      </c>
      <c r="E245" t="s">
        <v>412</v>
      </c>
      <c r="M245" s="2" t="s">
        <v>109</v>
      </c>
      <c r="N245" t="s">
        <v>110</v>
      </c>
      <c r="O245">
        <v>0</v>
      </c>
      <c r="P245">
        <v>34</v>
      </c>
      <c r="Q245" t="s">
        <v>94</v>
      </c>
    </row>
    <row r="246" spans="1:17">
      <c r="A246" s="2" t="s">
        <v>491</v>
      </c>
      <c r="B246" t="s">
        <v>492</v>
      </c>
      <c r="C246" t="s">
        <v>23</v>
      </c>
      <c r="D246">
        <v>502</v>
      </c>
      <c r="E246" t="s">
        <v>412</v>
      </c>
      <c r="M246" s="2" t="s">
        <v>111</v>
      </c>
      <c r="N246" t="s">
        <v>112</v>
      </c>
      <c r="O246">
        <v>0</v>
      </c>
      <c r="P246">
        <v>34</v>
      </c>
      <c r="Q246" t="s">
        <v>94</v>
      </c>
    </row>
    <row r="247" spans="1:17">
      <c r="A247" s="2" t="s">
        <v>493</v>
      </c>
      <c r="B247" t="s">
        <v>494</v>
      </c>
      <c r="C247" t="s">
        <v>23</v>
      </c>
      <c r="D247">
        <v>502</v>
      </c>
      <c r="E247" t="s">
        <v>412</v>
      </c>
      <c r="M247" s="2" t="s">
        <v>113</v>
      </c>
      <c r="N247" t="s">
        <v>114</v>
      </c>
      <c r="O247">
        <v>0</v>
      </c>
      <c r="P247">
        <v>34</v>
      </c>
      <c r="Q247" t="s">
        <v>94</v>
      </c>
    </row>
    <row r="248" spans="1:17">
      <c r="A248" s="2" t="s">
        <v>495</v>
      </c>
      <c r="B248" t="s">
        <v>496</v>
      </c>
      <c r="C248" t="s">
        <v>23</v>
      </c>
      <c r="D248">
        <v>502</v>
      </c>
      <c r="E248" t="s">
        <v>412</v>
      </c>
      <c r="M248" s="2" t="s">
        <v>115</v>
      </c>
      <c r="N248" t="s">
        <v>116</v>
      </c>
      <c r="O248">
        <v>0</v>
      </c>
      <c r="P248">
        <v>34</v>
      </c>
      <c r="Q248" t="s">
        <v>94</v>
      </c>
    </row>
    <row r="249" spans="1:17">
      <c r="A249" s="2" t="s">
        <v>497</v>
      </c>
      <c r="B249" t="s">
        <v>498</v>
      </c>
      <c r="C249" t="s">
        <v>23</v>
      </c>
      <c r="D249">
        <v>502</v>
      </c>
      <c r="E249" t="s">
        <v>412</v>
      </c>
      <c r="M249" s="2" t="s">
        <v>117</v>
      </c>
      <c r="N249" t="s">
        <v>118</v>
      </c>
      <c r="O249">
        <v>0</v>
      </c>
      <c r="P249">
        <v>34</v>
      </c>
      <c r="Q249" t="s">
        <v>94</v>
      </c>
    </row>
    <row r="250" spans="1:17">
      <c r="A250" s="2" t="s">
        <v>499</v>
      </c>
      <c r="B250" t="s">
        <v>500</v>
      </c>
      <c r="C250" t="s">
        <v>23</v>
      </c>
      <c r="D250">
        <v>502</v>
      </c>
      <c r="E250" t="s">
        <v>412</v>
      </c>
      <c r="M250" s="2" t="s">
        <v>119</v>
      </c>
      <c r="N250" t="s">
        <v>120</v>
      </c>
      <c r="O250">
        <v>1</v>
      </c>
      <c r="P250">
        <v>34</v>
      </c>
      <c r="Q250" t="s">
        <v>94</v>
      </c>
    </row>
    <row r="251" spans="1:17">
      <c r="A251" s="2" t="s">
        <v>501</v>
      </c>
      <c r="B251" t="s">
        <v>502</v>
      </c>
      <c r="C251" t="s">
        <v>23</v>
      </c>
      <c r="D251">
        <v>502</v>
      </c>
      <c r="E251" t="s">
        <v>412</v>
      </c>
      <c r="M251" s="2" t="s">
        <v>121</v>
      </c>
      <c r="N251" t="s">
        <v>122</v>
      </c>
      <c r="O251">
        <v>1</v>
      </c>
      <c r="P251">
        <v>34</v>
      </c>
      <c r="Q251" t="s">
        <v>94</v>
      </c>
    </row>
    <row r="252" spans="1:17">
      <c r="A252" s="2" t="s">
        <v>503</v>
      </c>
      <c r="B252" t="s">
        <v>504</v>
      </c>
      <c r="C252" t="s">
        <v>23</v>
      </c>
      <c r="D252">
        <v>502</v>
      </c>
      <c r="E252" t="s">
        <v>412</v>
      </c>
      <c r="M252" s="2" t="s">
        <v>123</v>
      </c>
      <c r="N252" t="s">
        <v>124</v>
      </c>
      <c r="O252">
        <v>1</v>
      </c>
      <c r="P252">
        <v>34</v>
      </c>
      <c r="Q252" t="s">
        <v>94</v>
      </c>
    </row>
    <row r="253" spans="1:17">
      <c r="A253" s="2" t="s">
        <v>505</v>
      </c>
      <c r="B253" t="s">
        <v>506</v>
      </c>
      <c r="C253" t="s">
        <v>23</v>
      </c>
      <c r="D253">
        <v>502</v>
      </c>
      <c r="E253" t="s">
        <v>412</v>
      </c>
      <c r="M253" s="2" t="s">
        <v>125</v>
      </c>
      <c r="N253" t="s">
        <v>126</v>
      </c>
      <c r="O253">
        <v>1</v>
      </c>
      <c r="P253">
        <v>34</v>
      </c>
      <c r="Q253" t="s">
        <v>94</v>
      </c>
    </row>
    <row r="254" spans="1:17">
      <c r="A254" s="2" t="s">
        <v>507</v>
      </c>
      <c r="B254" t="s">
        <v>508</v>
      </c>
      <c r="C254" t="s">
        <v>23</v>
      </c>
      <c r="D254">
        <v>502</v>
      </c>
      <c r="E254" t="s">
        <v>412</v>
      </c>
      <c r="M254" s="2" t="s">
        <v>127</v>
      </c>
      <c r="N254" t="s">
        <v>128</v>
      </c>
      <c r="O254">
        <v>1</v>
      </c>
      <c r="P254">
        <v>34</v>
      </c>
      <c r="Q254" t="s">
        <v>94</v>
      </c>
    </row>
    <row r="255" spans="1:17">
      <c r="A255" s="2" t="s">
        <v>509</v>
      </c>
      <c r="B255" t="s">
        <v>510</v>
      </c>
      <c r="C255" t="s">
        <v>23</v>
      </c>
      <c r="D255">
        <v>502</v>
      </c>
      <c r="E255" t="s">
        <v>412</v>
      </c>
      <c r="M255" s="2" t="s">
        <v>129</v>
      </c>
      <c r="N255" t="s">
        <v>130</v>
      </c>
      <c r="O255">
        <v>1</v>
      </c>
      <c r="P255">
        <v>34</v>
      </c>
      <c r="Q255" t="s">
        <v>94</v>
      </c>
    </row>
    <row r="256" spans="1:17">
      <c r="A256" s="2" t="s">
        <v>511</v>
      </c>
      <c r="B256" t="s">
        <v>512</v>
      </c>
      <c r="C256" t="s">
        <v>23</v>
      </c>
      <c r="D256">
        <v>502</v>
      </c>
      <c r="E256" t="s">
        <v>412</v>
      </c>
      <c r="M256" s="2" t="s">
        <v>131</v>
      </c>
      <c r="N256" t="s">
        <v>132</v>
      </c>
      <c r="O256">
        <v>1</v>
      </c>
      <c r="P256">
        <v>34</v>
      </c>
      <c r="Q256" t="s">
        <v>94</v>
      </c>
    </row>
    <row r="257" spans="1:17">
      <c r="A257" s="2" t="s">
        <v>513</v>
      </c>
      <c r="B257" t="s">
        <v>514</v>
      </c>
      <c r="C257" t="s">
        <v>23</v>
      </c>
      <c r="D257">
        <v>502</v>
      </c>
      <c r="E257" t="s">
        <v>412</v>
      </c>
      <c r="M257" s="2" t="s">
        <v>133</v>
      </c>
      <c r="N257" t="s">
        <v>134</v>
      </c>
      <c r="O257">
        <v>1</v>
      </c>
      <c r="P257">
        <v>34</v>
      </c>
      <c r="Q257" t="s">
        <v>94</v>
      </c>
    </row>
    <row r="258" spans="1:17">
      <c r="A258" s="2" t="s">
        <v>515</v>
      </c>
      <c r="B258" t="s">
        <v>516</v>
      </c>
      <c r="C258" t="s">
        <v>23</v>
      </c>
      <c r="D258">
        <v>502</v>
      </c>
      <c r="E258" t="s">
        <v>412</v>
      </c>
      <c r="M258" s="2" t="s">
        <v>135</v>
      </c>
      <c r="N258" t="s">
        <v>136</v>
      </c>
      <c r="O258">
        <v>1</v>
      </c>
      <c r="P258">
        <v>34</v>
      </c>
      <c r="Q258" t="s">
        <v>94</v>
      </c>
    </row>
    <row r="259" spans="1:17">
      <c r="A259" s="2" t="s">
        <v>517</v>
      </c>
      <c r="B259" t="s">
        <v>518</v>
      </c>
      <c r="C259" t="s">
        <v>23</v>
      </c>
      <c r="D259">
        <v>502</v>
      </c>
      <c r="E259" t="s">
        <v>412</v>
      </c>
      <c r="M259" s="2" t="s">
        <v>137</v>
      </c>
      <c r="N259" t="s">
        <v>138</v>
      </c>
      <c r="O259">
        <v>1</v>
      </c>
      <c r="P259">
        <v>34</v>
      </c>
      <c r="Q259" t="s">
        <v>94</v>
      </c>
    </row>
    <row r="260" spans="1:17">
      <c r="A260" s="2" t="s">
        <v>519</v>
      </c>
      <c r="B260" t="s">
        <v>520</v>
      </c>
      <c r="C260" t="s">
        <v>23</v>
      </c>
      <c r="D260">
        <v>502</v>
      </c>
      <c r="E260" t="s">
        <v>412</v>
      </c>
      <c r="M260" s="2" t="s">
        <v>139</v>
      </c>
      <c r="N260" t="s">
        <v>140</v>
      </c>
      <c r="O260">
        <v>1</v>
      </c>
      <c r="P260">
        <v>34</v>
      </c>
      <c r="Q260" t="s">
        <v>94</v>
      </c>
    </row>
    <row r="261" spans="1:17">
      <c r="A261" s="2" t="s">
        <v>521</v>
      </c>
      <c r="B261" t="s">
        <v>522</v>
      </c>
      <c r="C261" t="s">
        <v>23</v>
      </c>
      <c r="D261">
        <v>502</v>
      </c>
      <c r="E261" t="s">
        <v>412</v>
      </c>
      <c r="M261" s="2" t="s">
        <v>141</v>
      </c>
      <c r="N261" t="s">
        <v>142</v>
      </c>
      <c r="O261">
        <v>1</v>
      </c>
      <c r="P261">
        <v>34</v>
      </c>
      <c r="Q261" t="s">
        <v>94</v>
      </c>
    </row>
    <row r="262" spans="1:17">
      <c r="A262" s="2" t="s">
        <v>523</v>
      </c>
      <c r="B262" t="s">
        <v>524</v>
      </c>
      <c r="C262" t="s">
        <v>23</v>
      </c>
      <c r="D262">
        <v>502</v>
      </c>
      <c r="E262" t="s">
        <v>412</v>
      </c>
      <c r="M262" s="2" t="s">
        <v>143</v>
      </c>
      <c r="N262" t="s">
        <v>144</v>
      </c>
      <c r="O262">
        <v>2</v>
      </c>
      <c r="P262">
        <v>34</v>
      </c>
      <c r="Q262" t="s">
        <v>94</v>
      </c>
    </row>
    <row r="263" spans="1:17">
      <c r="A263" s="2" t="s">
        <v>525</v>
      </c>
      <c r="B263" t="s">
        <v>526</v>
      </c>
      <c r="C263" t="s">
        <v>23</v>
      </c>
      <c r="D263">
        <v>502</v>
      </c>
      <c r="E263" t="s">
        <v>412</v>
      </c>
      <c r="M263" s="2" t="s">
        <v>145</v>
      </c>
      <c r="N263" t="s">
        <v>146</v>
      </c>
      <c r="O263">
        <v>2</v>
      </c>
      <c r="P263">
        <v>34</v>
      </c>
      <c r="Q263" t="s">
        <v>94</v>
      </c>
    </row>
    <row r="264" spans="1:17">
      <c r="A264" s="2" t="s">
        <v>527</v>
      </c>
      <c r="B264" t="s">
        <v>528</v>
      </c>
      <c r="C264" t="s">
        <v>23</v>
      </c>
      <c r="D264">
        <v>502</v>
      </c>
      <c r="E264" t="s">
        <v>412</v>
      </c>
      <c r="M264" s="2" t="s">
        <v>147</v>
      </c>
      <c r="N264" t="s">
        <v>148</v>
      </c>
      <c r="O264">
        <v>2</v>
      </c>
      <c r="P264">
        <v>34</v>
      </c>
      <c r="Q264" t="s">
        <v>94</v>
      </c>
    </row>
    <row r="265" spans="1:17">
      <c r="A265" s="2" t="s">
        <v>529</v>
      </c>
      <c r="B265" t="s">
        <v>530</v>
      </c>
      <c r="C265" t="s">
        <v>23</v>
      </c>
      <c r="D265">
        <v>502</v>
      </c>
      <c r="E265" t="s">
        <v>412</v>
      </c>
      <c r="M265" s="2" t="s">
        <v>149</v>
      </c>
      <c r="N265" t="s">
        <v>150</v>
      </c>
      <c r="O265">
        <v>2</v>
      </c>
      <c r="P265">
        <v>34</v>
      </c>
      <c r="Q265" t="s">
        <v>94</v>
      </c>
    </row>
    <row r="266" spans="1:17">
      <c r="A266" s="2" t="s">
        <v>531</v>
      </c>
      <c r="B266" t="s">
        <v>532</v>
      </c>
      <c r="C266" t="s">
        <v>23</v>
      </c>
      <c r="D266">
        <v>502</v>
      </c>
      <c r="E266" t="s">
        <v>412</v>
      </c>
      <c r="M266" s="2" t="s">
        <v>151</v>
      </c>
      <c r="N266" t="s">
        <v>152</v>
      </c>
      <c r="O266">
        <v>2</v>
      </c>
      <c r="P266">
        <v>34</v>
      </c>
      <c r="Q266" t="s">
        <v>94</v>
      </c>
    </row>
    <row r="267" spans="1:17">
      <c r="A267" s="2" t="s">
        <v>533</v>
      </c>
      <c r="B267" t="s">
        <v>534</v>
      </c>
      <c r="C267" t="s">
        <v>23</v>
      </c>
      <c r="D267">
        <v>502</v>
      </c>
      <c r="E267" t="s">
        <v>412</v>
      </c>
      <c r="M267" s="2" t="s">
        <v>153</v>
      </c>
      <c r="N267" t="s">
        <v>154</v>
      </c>
      <c r="O267">
        <v>2</v>
      </c>
      <c r="P267">
        <v>34</v>
      </c>
      <c r="Q267" t="s">
        <v>94</v>
      </c>
    </row>
    <row r="268" spans="1:17">
      <c r="A268" s="2" t="s">
        <v>535</v>
      </c>
      <c r="B268" t="s">
        <v>536</v>
      </c>
      <c r="C268" t="s">
        <v>23</v>
      </c>
      <c r="D268">
        <v>502</v>
      </c>
      <c r="E268" t="s">
        <v>412</v>
      </c>
      <c r="M268" s="2" t="s">
        <v>155</v>
      </c>
      <c r="N268" t="s">
        <v>156</v>
      </c>
      <c r="O268">
        <v>2</v>
      </c>
      <c r="P268">
        <v>34</v>
      </c>
      <c r="Q268" t="s">
        <v>94</v>
      </c>
    </row>
    <row r="269" spans="1:17">
      <c r="A269" s="2" t="s">
        <v>537</v>
      </c>
      <c r="B269" t="s">
        <v>538</v>
      </c>
      <c r="C269" t="s">
        <v>23</v>
      </c>
      <c r="D269">
        <v>502</v>
      </c>
      <c r="E269" t="s">
        <v>412</v>
      </c>
      <c r="M269" s="2" t="s">
        <v>157</v>
      </c>
      <c r="N269" t="s">
        <v>158</v>
      </c>
      <c r="O269">
        <v>2</v>
      </c>
      <c r="P269">
        <v>34</v>
      </c>
      <c r="Q269" t="s">
        <v>94</v>
      </c>
    </row>
    <row r="270" spans="1:17">
      <c r="A270" s="2" t="s">
        <v>539</v>
      </c>
      <c r="B270" t="s">
        <v>540</v>
      </c>
      <c r="C270" t="s">
        <v>23</v>
      </c>
      <c r="D270">
        <v>502</v>
      </c>
      <c r="E270" t="s">
        <v>412</v>
      </c>
      <c r="M270" s="2" t="s">
        <v>159</v>
      </c>
      <c r="N270" t="s">
        <v>160</v>
      </c>
      <c r="O270">
        <v>2</v>
      </c>
      <c r="P270">
        <v>34</v>
      </c>
      <c r="Q270" t="s">
        <v>94</v>
      </c>
    </row>
    <row r="271" spans="1:17">
      <c r="A271" s="2" t="s">
        <v>541</v>
      </c>
      <c r="B271" t="s">
        <v>542</v>
      </c>
      <c r="C271" t="s">
        <v>23</v>
      </c>
      <c r="D271">
        <v>502</v>
      </c>
      <c r="E271" t="s">
        <v>412</v>
      </c>
      <c r="M271" s="2" t="s">
        <v>161</v>
      </c>
      <c r="N271" t="s">
        <v>162</v>
      </c>
      <c r="O271">
        <v>2</v>
      </c>
      <c r="P271">
        <v>34</v>
      </c>
      <c r="Q271" t="s">
        <v>94</v>
      </c>
    </row>
    <row r="272" spans="1:17">
      <c r="A272" s="2" t="s">
        <v>543</v>
      </c>
      <c r="B272" t="s">
        <v>544</v>
      </c>
      <c r="C272" t="s">
        <v>23</v>
      </c>
      <c r="D272">
        <v>502</v>
      </c>
      <c r="E272" t="s">
        <v>412</v>
      </c>
      <c r="M272" s="2" t="s">
        <v>163</v>
      </c>
      <c r="N272" t="s">
        <v>164</v>
      </c>
      <c r="O272">
        <v>2</v>
      </c>
      <c r="P272">
        <v>34</v>
      </c>
      <c r="Q272" t="s">
        <v>94</v>
      </c>
    </row>
    <row r="273" spans="1:17">
      <c r="A273" s="2" t="s">
        <v>545</v>
      </c>
      <c r="B273" t="s">
        <v>546</v>
      </c>
      <c r="C273" t="s">
        <v>23</v>
      </c>
      <c r="D273">
        <v>502</v>
      </c>
      <c r="E273" t="s">
        <v>412</v>
      </c>
      <c r="M273" s="2" t="s">
        <v>165</v>
      </c>
      <c r="N273" t="s">
        <v>166</v>
      </c>
      <c r="O273">
        <v>2</v>
      </c>
      <c r="P273">
        <v>34</v>
      </c>
      <c r="Q273" t="s">
        <v>94</v>
      </c>
    </row>
    <row r="274" spans="1:17">
      <c r="A274" s="2" t="s">
        <v>547</v>
      </c>
      <c r="B274" t="s">
        <v>548</v>
      </c>
      <c r="C274" t="s">
        <v>23</v>
      </c>
      <c r="D274">
        <v>502</v>
      </c>
      <c r="E274" t="s">
        <v>412</v>
      </c>
      <c r="M274" s="2" t="s">
        <v>167</v>
      </c>
      <c r="N274" t="s">
        <v>168</v>
      </c>
      <c r="O274">
        <v>3</v>
      </c>
      <c r="P274">
        <v>34</v>
      </c>
      <c r="Q274" t="s">
        <v>94</v>
      </c>
    </row>
    <row r="275" spans="1:17">
      <c r="A275" s="2" t="s">
        <v>549</v>
      </c>
      <c r="B275" t="s">
        <v>550</v>
      </c>
      <c r="C275" t="s">
        <v>23</v>
      </c>
      <c r="D275">
        <v>502</v>
      </c>
      <c r="E275" t="s">
        <v>412</v>
      </c>
      <c r="M275" s="2" t="s">
        <v>169</v>
      </c>
      <c r="N275" t="s">
        <v>170</v>
      </c>
      <c r="O275">
        <v>3</v>
      </c>
      <c r="P275">
        <v>34</v>
      </c>
      <c r="Q275" t="s">
        <v>94</v>
      </c>
    </row>
    <row r="276" spans="1:17">
      <c r="A276" s="2" t="s">
        <v>551</v>
      </c>
      <c r="B276" t="s">
        <v>552</v>
      </c>
      <c r="C276" t="s">
        <v>23</v>
      </c>
      <c r="D276">
        <v>502</v>
      </c>
      <c r="E276" t="s">
        <v>412</v>
      </c>
      <c r="M276" s="2" t="s">
        <v>171</v>
      </c>
      <c r="N276" t="s">
        <v>172</v>
      </c>
      <c r="O276">
        <v>3</v>
      </c>
      <c r="P276">
        <v>34</v>
      </c>
      <c r="Q276" t="s">
        <v>94</v>
      </c>
    </row>
    <row r="277" spans="1:17">
      <c r="A277" s="2" t="s">
        <v>553</v>
      </c>
      <c r="B277" t="s">
        <v>554</v>
      </c>
      <c r="C277" t="s">
        <v>23</v>
      </c>
      <c r="D277">
        <v>502</v>
      </c>
      <c r="E277" t="s">
        <v>412</v>
      </c>
      <c r="M277" s="2" t="s">
        <v>173</v>
      </c>
      <c r="N277" t="s">
        <v>174</v>
      </c>
      <c r="O277">
        <v>3</v>
      </c>
      <c r="P277">
        <v>34</v>
      </c>
      <c r="Q277" t="s">
        <v>94</v>
      </c>
    </row>
    <row r="278" spans="1:17">
      <c r="A278" s="2" t="s">
        <v>555</v>
      </c>
      <c r="B278" t="s">
        <v>556</v>
      </c>
      <c r="C278" t="s">
        <v>23</v>
      </c>
      <c r="D278">
        <v>502</v>
      </c>
      <c r="E278" t="s">
        <v>412</v>
      </c>
      <c r="M278" s="2" t="s">
        <v>175</v>
      </c>
      <c r="N278" t="s">
        <v>176</v>
      </c>
      <c r="O278">
        <v>3</v>
      </c>
      <c r="P278">
        <v>34</v>
      </c>
      <c r="Q278" t="s">
        <v>94</v>
      </c>
    </row>
    <row r="279" spans="1:17">
      <c r="A279" s="2" t="s">
        <v>557</v>
      </c>
      <c r="B279" s="6" t="s">
        <v>558</v>
      </c>
      <c r="C279" t="s">
        <v>23</v>
      </c>
      <c r="D279" t="s">
        <v>23</v>
      </c>
      <c r="E279" t="s">
        <v>23</v>
      </c>
      <c r="M279" s="2" t="s">
        <v>177</v>
      </c>
      <c r="N279" t="s">
        <v>178</v>
      </c>
      <c r="O279">
        <v>3</v>
      </c>
      <c r="P279">
        <v>34</v>
      </c>
      <c r="Q279" t="s">
        <v>94</v>
      </c>
    </row>
    <row r="280" spans="1:17">
      <c r="A280" s="2" t="s">
        <v>559</v>
      </c>
      <c r="B280" s="6" t="s">
        <v>558</v>
      </c>
      <c r="C280" t="s">
        <v>23</v>
      </c>
      <c r="D280" t="s">
        <v>23</v>
      </c>
      <c r="E280" t="s">
        <v>23</v>
      </c>
      <c r="M280" s="2" t="s">
        <v>179</v>
      </c>
      <c r="N280" t="s">
        <v>180</v>
      </c>
      <c r="O280">
        <v>3</v>
      </c>
      <c r="P280">
        <v>34</v>
      </c>
      <c r="Q280" t="s">
        <v>94</v>
      </c>
    </row>
    <row r="281" spans="1:17">
      <c r="A281" s="2" t="s">
        <v>560</v>
      </c>
      <c r="B281" s="6" t="s">
        <v>558</v>
      </c>
      <c r="C281" t="s">
        <v>23</v>
      </c>
      <c r="D281" t="s">
        <v>23</v>
      </c>
      <c r="E281" t="s">
        <v>23</v>
      </c>
      <c r="M281" s="2" t="s">
        <v>181</v>
      </c>
      <c r="N281" t="s">
        <v>182</v>
      </c>
      <c r="O281">
        <v>3</v>
      </c>
      <c r="P281">
        <v>34</v>
      </c>
      <c r="Q281" t="s">
        <v>94</v>
      </c>
    </row>
    <row r="282" spans="1:17">
      <c r="A282" s="2" t="s">
        <v>561</v>
      </c>
      <c r="B282" s="6" t="s">
        <v>558</v>
      </c>
      <c r="C282" t="s">
        <v>23</v>
      </c>
      <c r="D282" t="s">
        <v>23</v>
      </c>
      <c r="E282" t="s">
        <v>23</v>
      </c>
      <c r="M282" s="2" t="s">
        <v>183</v>
      </c>
      <c r="N282" t="s">
        <v>184</v>
      </c>
      <c r="O282">
        <v>3</v>
      </c>
      <c r="P282">
        <v>34</v>
      </c>
      <c r="Q282" t="s">
        <v>94</v>
      </c>
    </row>
    <row r="283" spans="1:17">
      <c r="A283" s="2" t="s">
        <v>562</v>
      </c>
      <c r="B283" s="6" t="s">
        <v>558</v>
      </c>
      <c r="C283" t="s">
        <v>23</v>
      </c>
      <c r="D283" t="s">
        <v>23</v>
      </c>
      <c r="E283" t="s">
        <v>23</v>
      </c>
      <c r="M283" s="2" t="s">
        <v>185</v>
      </c>
      <c r="N283" t="s">
        <v>186</v>
      </c>
      <c r="O283">
        <v>3</v>
      </c>
      <c r="P283">
        <v>34</v>
      </c>
      <c r="Q283" t="s">
        <v>94</v>
      </c>
    </row>
    <row r="284" spans="1:17">
      <c r="A284" s="2" t="s">
        <v>563</v>
      </c>
      <c r="B284" s="6" t="s">
        <v>558</v>
      </c>
      <c r="C284" t="s">
        <v>23</v>
      </c>
      <c r="D284" t="s">
        <v>23</v>
      </c>
      <c r="E284" t="s">
        <v>23</v>
      </c>
      <c r="M284" s="2" t="s">
        <v>187</v>
      </c>
      <c r="N284" t="s">
        <v>188</v>
      </c>
      <c r="O284">
        <v>3</v>
      </c>
      <c r="P284">
        <v>34</v>
      </c>
      <c r="Q284" t="s">
        <v>94</v>
      </c>
    </row>
    <row r="285" spans="1:17">
      <c r="A285" s="2" t="s">
        <v>564</v>
      </c>
      <c r="B285" s="6" t="s">
        <v>558</v>
      </c>
      <c r="C285" t="s">
        <v>23</v>
      </c>
      <c r="D285" t="s">
        <v>23</v>
      </c>
      <c r="E285" t="s">
        <v>23</v>
      </c>
      <c r="M285" s="2" t="s">
        <v>189</v>
      </c>
      <c r="N285" t="s">
        <v>190</v>
      </c>
      <c r="O285">
        <v>3</v>
      </c>
      <c r="P285">
        <v>34</v>
      </c>
      <c r="Q285" t="s">
        <v>94</v>
      </c>
    </row>
    <row r="286" spans="1:17">
      <c r="A286" s="2" t="s">
        <v>565</v>
      </c>
      <c r="B286" s="6" t="s">
        <v>558</v>
      </c>
      <c r="C286" t="s">
        <v>23</v>
      </c>
      <c r="D286" t="s">
        <v>23</v>
      </c>
      <c r="E286" t="s">
        <v>23</v>
      </c>
      <c r="M286" s="2" t="s">
        <v>191</v>
      </c>
      <c r="N286" t="s">
        <v>192</v>
      </c>
      <c r="O286" t="s">
        <v>23</v>
      </c>
      <c r="P286">
        <v>34</v>
      </c>
      <c r="Q286" t="s">
        <v>94</v>
      </c>
    </row>
    <row r="287" spans="1:17">
      <c r="A287" s="2" t="s">
        <v>566</v>
      </c>
      <c r="B287" s="6" t="s">
        <v>558</v>
      </c>
      <c r="C287" t="s">
        <v>23</v>
      </c>
      <c r="D287" t="s">
        <v>23</v>
      </c>
      <c r="E287" t="s">
        <v>23</v>
      </c>
      <c r="M287" s="2" t="s">
        <v>193</v>
      </c>
      <c r="N287" t="s">
        <v>194</v>
      </c>
      <c r="O287" t="s">
        <v>23</v>
      </c>
      <c r="P287">
        <v>35</v>
      </c>
      <c r="Q287" t="s">
        <v>94</v>
      </c>
    </row>
    <row r="288" spans="1:17">
      <c r="A288" s="2" t="s">
        <v>567</v>
      </c>
      <c r="B288" s="6" t="s">
        <v>558</v>
      </c>
      <c r="C288" t="s">
        <v>23</v>
      </c>
      <c r="D288" t="s">
        <v>23</v>
      </c>
      <c r="E288" t="s">
        <v>23</v>
      </c>
      <c r="M288" s="2" t="s">
        <v>195</v>
      </c>
      <c r="N288" t="s">
        <v>196</v>
      </c>
      <c r="O288">
        <v>0</v>
      </c>
      <c r="P288">
        <v>35</v>
      </c>
      <c r="Q288" t="s">
        <v>94</v>
      </c>
    </row>
    <row r="289" spans="1:17">
      <c r="A289" s="2" t="s">
        <v>568</v>
      </c>
      <c r="B289" s="6" t="s">
        <v>558</v>
      </c>
      <c r="C289" t="s">
        <v>23</v>
      </c>
      <c r="D289" t="s">
        <v>23</v>
      </c>
      <c r="E289" t="s">
        <v>23</v>
      </c>
      <c r="M289" s="2" t="s">
        <v>197</v>
      </c>
      <c r="N289" t="s">
        <v>198</v>
      </c>
      <c r="O289">
        <v>0</v>
      </c>
      <c r="P289">
        <v>35</v>
      </c>
      <c r="Q289" t="s">
        <v>94</v>
      </c>
    </row>
    <row r="290" spans="1:17">
      <c r="A290" s="2" t="s">
        <v>569</v>
      </c>
      <c r="B290" s="6" t="s">
        <v>558</v>
      </c>
      <c r="C290" t="s">
        <v>23</v>
      </c>
      <c r="D290" t="s">
        <v>23</v>
      </c>
      <c r="E290" t="s">
        <v>23</v>
      </c>
      <c r="M290" s="2" t="s">
        <v>199</v>
      </c>
      <c r="N290" t="s">
        <v>200</v>
      </c>
      <c r="O290">
        <v>0</v>
      </c>
      <c r="P290">
        <v>35</v>
      </c>
      <c r="Q290" t="s">
        <v>94</v>
      </c>
    </row>
    <row r="291" spans="1:17">
      <c r="A291" s="2" t="s">
        <v>570</v>
      </c>
      <c r="B291" s="6" t="s">
        <v>558</v>
      </c>
      <c r="C291" t="s">
        <v>23</v>
      </c>
      <c r="D291" t="s">
        <v>23</v>
      </c>
      <c r="E291" t="s">
        <v>23</v>
      </c>
      <c r="M291" s="2" t="s">
        <v>201</v>
      </c>
      <c r="N291" t="s">
        <v>202</v>
      </c>
      <c r="O291">
        <v>0</v>
      </c>
      <c r="P291">
        <v>35</v>
      </c>
      <c r="Q291" t="s">
        <v>94</v>
      </c>
    </row>
    <row r="292" spans="1:17">
      <c r="A292" s="2" t="s">
        <v>571</v>
      </c>
      <c r="B292" s="6" t="s">
        <v>558</v>
      </c>
      <c r="C292" t="s">
        <v>23</v>
      </c>
      <c r="D292" t="s">
        <v>23</v>
      </c>
      <c r="E292" t="s">
        <v>23</v>
      </c>
      <c r="M292" s="2" t="s">
        <v>203</v>
      </c>
      <c r="N292" t="s">
        <v>204</v>
      </c>
      <c r="O292">
        <v>0</v>
      </c>
      <c r="P292">
        <v>35</v>
      </c>
      <c r="Q292" t="s">
        <v>94</v>
      </c>
    </row>
    <row r="293" spans="1:17">
      <c r="A293" s="2" t="s">
        <v>572</v>
      </c>
      <c r="B293" s="6" t="s">
        <v>558</v>
      </c>
      <c r="C293" t="s">
        <v>23</v>
      </c>
      <c r="D293" t="s">
        <v>23</v>
      </c>
      <c r="E293" t="s">
        <v>23</v>
      </c>
      <c r="M293" s="2" t="s">
        <v>205</v>
      </c>
      <c r="N293" t="s">
        <v>206</v>
      </c>
      <c r="O293">
        <v>0</v>
      </c>
      <c r="P293">
        <v>35</v>
      </c>
      <c r="Q293" t="s">
        <v>94</v>
      </c>
    </row>
    <row r="294" spans="1:17">
      <c r="A294" s="2" t="s">
        <v>573</v>
      </c>
      <c r="B294" s="6" t="s">
        <v>558</v>
      </c>
      <c r="C294" t="s">
        <v>23</v>
      </c>
      <c r="D294" t="s">
        <v>23</v>
      </c>
      <c r="E294" t="s">
        <v>23</v>
      </c>
      <c r="M294" s="2" t="s">
        <v>207</v>
      </c>
      <c r="N294" t="s">
        <v>208</v>
      </c>
      <c r="O294">
        <v>0</v>
      </c>
      <c r="P294">
        <v>35</v>
      </c>
      <c r="Q294" t="s">
        <v>94</v>
      </c>
    </row>
    <row r="295" spans="1:17">
      <c r="A295" s="2" t="s">
        <v>574</v>
      </c>
      <c r="B295" s="6" t="s">
        <v>558</v>
      </c>
      <c r="C295" t="s">
        <v>23</v>
      </c>
      <c r="D295" t="s">
        <v>23</v>
      </c>
      <c r="E295" t="s">
        <v>23</v>
      </c>
      <c r="M295" s="2" t="s">
        <v>209</v>
      </c>
      <c r="N295" t="s">
        <v>210</v>
      </c>
      <c r="O295">
        <v>0</v>
      </c>
      <c r="P295">
        <v>35</v>
      </c>
      <c r="Q295" t="s">
        <v>94</v>
      </c>
    </row>
    <row r="296" spans="1:17">
      <c r="A296" s="2" t="s">
        <v>575</v>
      </c>
      <c r="B296" s="6" t="s">
        <v>558</v>
      </c>
      <c r="C296" t="s">
        <v>23</v>
      </c>
      <c r="D296" t="s">
        <v>23</v>
      </c>
      <c r="E296" t="s">
        <v>23</v>
      </c>
      <c r="M296" s="2" t="s">
        <v>211</v>
      </c>
      <c r="N296" t="s">
        <v>212</v>
      </c>
      <c r="O296">
        <v>0</v>
      </c>
      <c r="P296">
        <v>35</v>
      </c>
      <c r="Q296" t="s">
        <v>94</v>
      </c>
    </row>
    <row r="297" spans="1:17">
      <c r="A297" s="2" t="s">
        <v>576</v>
      </c>
      <c r="B297" s="6" t="s">
        <v>558</v>
      </c>
      <c r="C297" t="s">
        <v>23</v>
      </c>
      <c r="D297" t="s">
        <v>23</v>
      </c>
      <c r="E297" t="s">
        <v>23</v>
      </c>
      <c r="M297" s="2" t="s">
        <v>213</v>
      </c>
      <c r="N297" t="s">
        <v>214</v>
      </c>
      <c r="O297">
        <v>0</v>
      </c>
      <c r="P297">
        <v>35</v>
      </c>
      <c r="Q297" t="s">
        <v>94</v>
      </c>
    </row>
    <row r="298" spans="1:17">
      <c r="A298" s="2" t="s">
        <v>577</v>
      </c>
      <c r="B298" s="6" t="s">
        <v>558</v>
      </c>
      <c r="C298" t="s">
        <v>23</v>
      </c>
      <c r="D298" t="s">
        <v>23</v>
      </c>
      <c r="E298" t="s">
        <v>23</v>
      </c>
      <c r="M298" s="2" t="s">
        <v>215</v>
      </c>
      <c r="N298" t="s">
        <v>216</v>
      </c>
      <c r="O298">
        <v>0</v>
      </c>
      <c r="P298">
        <v>35</v>
      </c>
      <c r="Q298" t="s">
        <v>94</v>
      </c>
    </row>
    <row r="299" spans="1:17">
      <c r="A299" s="2" t="s">
        <v>578</v>
      </c>
      <c r="B299" s="6" t="s">
        <v>558</v>
      </c>
      <c r="C299" t="s">
        <v>23</v>
      </c>
      <c r="D299" t="s">
        <v>23</v>
      </c>
      <c r="E299" t="s">
        <v>23</v>
      </c>
      <c r="M299" s="2" t="s">
        <v>217</v>
      </c>
      <c r="N299" t="s">
        <v>218</v>
      </c>
      <c r="O299">
        <v>0</v>
      </c>
      <c r="P299">
        <v>35</v>
      </c>
      <c r="Q299" t="s">
        <v>94</v>
      </c>
    </row>
    <row r="300" spans="1:17">
      <c r="A300" s="2" t="s">
        <v>579</v>
      </c>
      <c r="B300" s="6" t="s">
        <v>558</v>
      </c>
      <c r="C300" t="s">
        <v>23</v>
      </c>
      <c r="D300" t="s">
        <v>23</v>
      </c>
      <c r="E300" t="s">
        <v>23</v>
      </c>
      <c r="M300" s="2" t="s">
        <v>219</v>
      </c>
      <c r="N300" t="s">
        <v>220</v>
      </c>
      <c r="O300">
        <v>1</v>
      </c>
      <c r="P300">
        <v>35</v>
      </c>
      <c r="Q300" t="s">
        <v>94</v>
      </c>
    </row>
    <row r="301" spans="1:17">
      <c r="A301" s="2" t="s">
        <v>580</v>
      </c>
      <c r="B301" s="6" t="s">
        <v>558</v>
      </c>
      <c r="C301" t="s">
        <v>23</v>
      </c>
      <c r="D301" t="s">
        <v>23</v>
      </c>
      <c r="E301" t="s">
        <v>23</v>
      </c>
      <c r="M301" s="2" t="s">
        <v>221</v>
      </c>
      <c r="N301" t="s">
        <v>222</v>
      </c>
      <c r="O301">
        <v>1</v>
      </c>
      <c r="P301">
        <v>35</v>
      </c>
      <c r="Q301" t="s">
        <v>94</v>
      </c>
    </row>
    <row r="302" spans="1:17">
      <c r="A302" s="2" t="s">
        <v>581</v>
      </c>
      <c r="B302" s="6" t="s">
        <v>558</v>
      </c>
      <c r="C302" t="s">
        <v>23</v>
      </c>
      <c r="D302" t="s">
        <v>23</v>
      </c>
      <c r="E302" t="s">
        <v>23</v>
      </c>
      <c r="M302" s="2" t="s">
        <v>223</v>
      </c>
      <c r="N302" t="s">
        <v>224</v>
      </c>
      <c r="O302">
        <v>1</v>
      </c>
      <c r="P302">
        <v>35</v>
      </c>
      <c r="Q302" t="s">
        <v>94</v>
      </c>
    </row>
    <row r="303" spans="1:17">
      <c r="A303" s="2" t="s">
        <v>582</v>
      </c>
      <c r="B303" s="6" t="s">
        <v>558</v>
      </c>
      <c r="C303" t="s">
        <v>23</v>
      </c>
      <c r="D303" t="s">
        <v>23</v>
      </c>
      <c r="E303" t="s">
        <v>23</v>
      </c>
      <c r="M303" s="2" t="s">
        <v>225</v>
      </c>
      <c r="N303" t="s">
        <v>226</v>
      </c>
      <c r="O303">
        <v>1</v>
      </c>
      <c r="P303">
        <v>35</v>
      </c>
      <c r="Q303" t="s">
        <v>94</v>
      </c>
    </row>
    <row r="304" spans="1:17">
      <c r="A304" s="2" t="s">
        <v>583</v>
      </c>
      <c r="B304" s="6" t="s">
        <v>558</v>
      </c>
      <c r="C304" t="s">
        <v>23</v>
      </c>
      <c r="D304" t="s">
        <v>23</v>
      </c>
      <c r="E304" t="s">
        <v>23</v>
      </c>
      <c r="M304" s="2" t="s">
        <v>227</v>
      </c>
      <c r="N304" t="s">
        <v>228</v>
      </c>
      <c r="O304">
        <v>1</v>
      </c>
      <c r="P304">
        <v>35</v>
      </c>
      <c r="Q304" t="s">
        <v>94</v>
      </c>
    </row>
    <row r="305" spans="1:17">
      <c r="A305" s="2" t="s">
        <v>584</v>
      </c>
      <c r="B305" s="6" t="s">
        <v>558</v>
      </c>
      <c r="C305" t="s">
        <v>23</v>
      </c>
      <c r="D305" t="s">
        <v>23</v>
      </c>
      <c r="E305" t="s">
        <v>23</v>
      </c>
      <c r="M305" s="2" t="s">
        <v>229</v>
      </c>
      <c r="N305" t="s">
        <v>230</v>
      </c>
      <c r="O305">
        <v>1</v>
      </c>
      <c r="P305">
        <v>35</v>
      </c>
      <c r="Q305" t="s">
        <v>94</v>
      </c>
    </row>
    <row r="306" spans="1:17">
      <c r="A306" s="2" t="s">
        <v>585</v>
      </c>
      <c r="B306" s="6" t="s">
        <v>558</v>
      </c>
      <c r="C306" t="s">
        <v>23</v>
      </c>
      <c r="D306" t="s">
        <v>23</v>
      </c>
      <c r="E306" t="s">
        <v>23</v>
      </c>
      <c r="M306" s="2" t="s">
        <v>231</v>
      </c>
      <c r="N306" t="s">
        <v>232</v>
      </c>
      <c r="O306">
        <v>1</v>
      </c>
      <c r="P306">
        <v>35</v>
      </c>
      <c r="Q306" t="s">
        <v>94</v>
      </c>
    </row>
    <row r="307" spans="1:17">
      <c r="A307" s="2" t="s">
        <v>586</v>
      </c>
      <c r="B307" s="6" t="s">
        <v>558</v>
      </c>
      <c r="C307" t="s">
        <v>23</v>
      </c>
      <c r="D307" t="s">
        <v>23</v>
      </c>
      <c r="E307" t="s">
        <v>23</v>
      </c>
      <c r="M307" s="2" t="s">
        <v>233</v>
      </c>
      <c r="N307" t="s">
        <v>234</v>
      </c>
      <c r="O307">
        <v>1</v>
      </c>
      <c r="P307">
        <v>35</v>
      </c>
      <c r="Q307" t="s">
        <v>94</v>
      </c>
    </row>
    <row r="308" spans="1:17">
      <c r="A308" s="2" t="s">
        <v>587</v>
      </c>
      <c r="B308" s="6" t="s">
        <v>558</v>
      </c>
      <c r="C308" t="s">
        <v>23</v>
      </c>
      <c r="D308" t="s">
        <v>23</v>
      </c>
      <c r="E308" t="s">
        <v>23</v>
      </c>
      <c r="M308" s="2" t="s">
        <v>235</v>
      </c>
      <c r="N308" t="s">
        <v>236</v>
      </c>
      <c r="O308">
        <v>1</v>
      </c>
      <c r="P308">
        <v>35</v>
      </c>
      <c r="Q308" t="s">
        <v>94</v>
      </c>
    </row>
    <row r="309" spans="1:17">
      <c r="A309" s="2" t="s">
        <v>588</v>
      </c>
      <c r="B309" s="6" t="s">
        <v>558</v>
      </c>
      <c r="C309" t="s">
        <v>23</v>
      </c>
      <c r="D309" t="s">
        <v>23</v>
      </c>
      <c r="E309" t="s">
        <v>23</v>
      </c>
      <c r="M309" s="2" t="s">
        <v>237</v>
      </c>
      <c r="N309" t="s">
        <v>238</v>
      </c>
      <c r="O309">
        <v>1</v>
      </c>
      <c r="P309">
        <v>35</v>
      </c>
      <c r="Q309" t="s">
        <v>94</v>
      </c>
    </row>
    <row r="310" spans="1:17">
      <c r="A310" s="2" t="s">
        <v>589</v>
      </c>
      <c r="B310" s="6" t="s">
        <v>558</v>
      </c>
      <c r="C310" t="s">
        <v>23</v>
      </c>
      <c r="D310" t="s">
        <v>23</v>
      </c>
      <c r="E310" t="s">
        <v>23</v>
      </c>
      <c r="M310" s="2" t="s">
        <v>239</v>
      </c>
      <c r="N310" t="s">
        <v>240</v>
      </c>
      <c r="O310">
        <v>1</v>
      </c>
      <c r="P310">
        <v>35</v>
      </c>
      <c r="Q310" t="s">
        <v>94</v>
      </c>
    </row>
    <row r="311" spans="1:17">
      <c r="A311" s="2" t="s">
        <v>590</v>
      </c>
      <c r="B311" s="6" t="s">
        <v>558</v>
      </c>
      <c r="C311" t="s">
        <v>23</v>
      </c>
      <c r="D311" t="s">
        <v>23</v>
      </c>
      <c r="E311" t="s">
        <v>23</v>
      </c>
      <c r="M311" s="2" t="s">
        <v>241</v>
      </c>
      <c r="N311" t="s">
        <v>242</v>
      </c>
      <c r="O311">
        <v>1</v>
      </c>
      <c r="P311">
        <v>35</v>
      </c>
      <c r="Q311" t="s">
        <v>94</v>
      </c>
    </row>
    <row r="312" spans="1:17">
      <c r="A312" s="2" t="s">
        <v>591</v>
      </c>
      <c r="B312" s="6" t="s">
        <v>558</v>
      </c>
      <c r="C312" t="s">
        <v>23</v>
      </c>
      <c r="D312" t="s">
        <v>23</v>
      </c>
      <c r="E312" t="s">
        <v>23</v>
      </c>
      <c r="M312" s="2" t="s">
        <v>243</v>
      </c>
      <c r="N312" t="s">
        <v>244</v>
      </c>
      <c r="O312">
        <v>2</v>
      </c>
      <c r="P312">
        <v>35</v>
      </c>
      <c r="Q312" t="s">
        <v>94</v>
      </c>
    </row>
    <row r="313" spans="1:17">
      <c r="A313" s="2" t="s">
        <v>592</v>
      </c>
      <c r="B313" s="6" t="s">
        <v>558</v>
      </c>
      <c r="C313" t="s">
        <v>23</v>
      </c>
      <c r="D313" t="s">
        <v>23</v>
      </c>
      <c r="E313" t="s">
        <v>23</v>
      </c>
      <c r="M313" s="2" t="s">
        <v>245</v>
      </c>
      <c r="N313" t="s">
        <v>246</v>
      </c>
      <c r="O313">
        <v>2</v>
      </c>
      <c r="P313">
        <v>35</v>
      </c>
      <c r="Q313" t="s">
        <v>94</v>
      </c>
    </row>
    <row r="314" spans="1:17">
      <c r="A314" s="2" t="s">
        <v>593</v>
      </c>
      <c r="B314" s="6" t="s">
        <v>558</v>
      </c>
      <c r="C314" t="s">
        <v>23</v>
      </c>
      <c r="D314" t="s">
        <v>23</v>
      </c>
      <c r="E314" t="s">
        <v>23</v>
      </c>
      <c r="M314" s="2" t="s">
        <v>247</v>
      </c>
      <c r="N314" t="s">
        <v>248</v>
      </c>
      <c r="O314">
        <v>2</v>
      </c>
      <c r="P314">
        <v>35</v>
      </c>
      <c r="Q314" t="s">
        <v>94</v>
      </c>
    </row>
    <row r="315" spans="1:17">
      <c r="A315" s="2" t="s">
        <v>594</v>
      </c>
      <c r="B315" s="6" t="s">
        <v>558</v>
      </c>
      <c r="C315" t="s">
        <v>23</v>
      </c>
      <c r="D315" t="s">
        <v>23</v>
      </c>
      <c r="E315" t="s">
        <v>23</v>
      </c>
      <c r="M315" s="2" t="s">
        <v>249</v>
      </c>
      <c r="N315" t="s">
        <v>250</v>
      </c>
      <c r="O315">
        <v>2</v>
      </c>
      <c r="P315">
        <v>35</v>
      </c>
      <c r="Q315" t="s">
        <v>94</v>
      </c>
    </row>
    <row r="316" spans="1:17">
      <c r="A316" s="2" t="s">
        <v>595</v>
      </c>
      <c r="B316" s="6" t="s">
        <v>558</v>
      </c>
      <c r="C316" t="s">
        <v>23</v>
      </c>
      <c r="D316" t="s">
        <v>23</v>
      </c>
      <c r="E316" t="s">
        <v>23</v>
      </c>
      <c r="M316" s="2" t="s">
        <v>251</v>
      </c>
      <c r="N316" t="s">
        <v>252</v>
      </c>
      <c r="O316">
        <v>2</v>
      </c>
      <c r="P316">
        <v>35</v>
      </c>
      <c r="Q316" t="s">
        <v>94</v>
      </c>
    </row>
    <row r="317" spans="1:17">
      <c r="A317" s="2" t="s">
        <v>596</v>
      </c>
      <c r="B317" s="6" t="s">
        <v>558</v>
      </c>
      <c r="C317" t="s">
        <v>23</v>
      </c>
      <c r="D317" t="s">
        <v>23</v>
      </c>
      <c r="E317" t="s">
        <v>23</v>
      </c>
      <c r="M317" s="2" t="s">
        <v>253</v>
      </c>
      <c r="N317" t="s">
        <v>254</v>
      </c>
      <c r="O317">
        <v>2</v>
      </c>
      <c r="P317">
        <v>35</v>
      </c>
      <c r="Q317" t="s">
        <v>94</v>
      </c>
    </row>
    <row r="318" spans="1:17">
      <c r="A318" s="2" t="s">
        <v>597</v>
      </c>
      <c r="B318" s="6" t="s">
        <v>558</v>
      </c>
      <c r="C318" t="s">
        <v>23</v>
      </c>
      <c r="D318" t="s">
        <v>23</v>
      </c>
      <c r="E318" t="s">
        <v>23</v>
      </c>
      <c r="M318" s="2" t="s">
        <v>255</v>
      </c>
      <c r="N318" t="s">
        <v>256</v>
      </c>
      <c r="O318">
        <v>2</v>
      </c>
      <c r="P318">
        <v>35</v>
      </c>
      <c r="Q318" t="s">
        <v>94</v>
      </c>
    </row>
    <row r="319" spans="1:17">
      <c r="A319" s="2" t="s">
        <v>598</v>
      </c>
      <c r="B319" s="6" t="s">
        <v>558</v>
      </c>
      <c r="C319" t="s">
        <v>23</v>
      </c>
      <c r="D319" t="s">
        <v>23</v>
      </c>
      <c r="E319" t="s">
        <v>23</v>
      </c>
      <c r="M319" s="2" t="s">
        <v>257</v>
      </c>
      <c r="N319" t="s">
        <v>258</v>
      </c>
      <c r="O319">
        <v>2</v>
      </c>
      <c r="P319">
        <v>35</v>
      </c>
      <c r="Q319" t="s">
        <v>94</v>
      </c>
    </row>
    <row r="320" spans="1:17">
      <c r="A320" s="2" t="s">
        <v>599</v>
      </c>
      <c r="B320" s="6" t="s">
        <v>558</v>
      </c>
      <c r="C320" t="s">
        <v>23</v>
      </c>
      <c r="D320" t="s">
        <v>23</v>
      </c>
      <c r="E320" t="s">
        <v>23</v>
      </c>
      <c r="M320" s="2" t="s">
        <v>259</v>
      </c>
      <c r="N320" t="s">
        <v>260</v>
      </c>
      <c r="O320">
        <v>2</v>
      </c>
      <c r="P320">
        <v>35</v>
      </c>
      <c r="Q320" t="s">
        <v>94</v>
      </c>
    </row>
    <row r="321" spans="1:17">
      <c r="A321" s="2" t="s">
        <v>600</v>
      </c>
      <c r="B321" s="6" t="s">
        <v>558</v>
      </c>
      <c r="C321" t="s">
        <v>23</v>
      </c>
      <c r="D321" t="s">
        <v>23</v>
      </c>
      <c r="E321" t="s">
        <v>23</v>
      </c>
      <c r="M321" s="2" t="s">
        <v>261</v>
      </c>
      <c r="N321" t="s">
        <v>262</v>
      </c>
      <c r="O321">
        <v>2</v>
      </c>
      <c r="P321">
        <v>35</v>
      </c>
      <c r="Q321" t="s">
        <v>94</v>
      </c>
    </row>
    <row r="322" spans="1:17">
      <c r="A322" s="2" t="s">
        <v>601</v>
      </c>
      <c r="B322" s="6" t="s">
        <v>558</v>
      </c>
      <c r="C322" t="s">
        <v>23</v>
      </c>
      <c r="D322" t="s">
        <v>23</v>
      </c>
      <c r="E322" t="s">
        <v>23</v>
      </c>
      <c r="M322" s="2" t="s">
        <v>263</v>
      </c>
      <c r="N322" t="s">
        <v>264</v>
      </c>
      <c r="O322">
        <v>2</v>
      </c>
      <c r="P322">
        <v>35</v>
      </c>
      <c r="Q322" t="s">
        <v>94</v>
      </c>
    </row>
    <row r="323" spans="1:17">
      <c r="A323" s="2" t="s">
        <v>602</v>
      </c>
      <c r="B323" s="6" t="s">
        <v>558</v>
      </c>
      <c r="C323" t="s">
        <v>23</v>
      </c>
      <c r="D323" t="s">
        <v>23</v>
      </c>
      <c r="E323" t="s">
        <v>23</v>
      </c>
      <c r="M323" s="2" t="s">
        <v>265</v>
      </c>
      <c r="N323" t="s">
        <v>266</v>
      </c>
      <c r="O323">
        <v>2</v>
      </c>
      <c r="P323">
        <v>35</v>
      </c>
      <c r="Q323" t="s">
        <v>94</v>
      </c>
    </row>
    <row r="324" spans="1:17">
      <c r="A324" s="2" t="s">
        <v>603</v>
      </c>
      <c r="B324" s="6" t="s">
        <v>558</v>
      </c>
      <c r="C324" t="s">
        <v>23</v>
      </c>
      <c r="D324" t="s">
        <v>23</v>
      </c>
      <c r="E324" t="s">
        <v>23</v>
      </c>
      <c r="M324" s="2" t="s">
        <v>267</v>
      </c>
      <c r="N324" t="s">
        <v>268</v>
      </c>
      <c r="O324">
        <v>3</v>
      </c>
      <c r="P324">
        <v>35</v>
      </c>
      <c r="Q324" t="s">
        <v>94</v>
      </c>
    </row>
    <row r="325" spans="1:17">
      <c r="A325" s="2" t="s">
        <v>604</v>
      </c>
      <c r="B325" s="6" t="s">
        <v>558</v>
      </c>
      <c r="C325" t="s">
        <v>23</v>
      </c>
      <c r="D325" t="s">
        <v>23</v>
      </c>
      <c r="E325" t="s">
        <v>23</v>
      </c>
      <c r="M325" s="2" t="s">
        <v>269</v>
      </c>
      <c r="N325" t="s">
        <v>270</v>
      </c>
      <c r="O325">
        <v>3</v>
      </c>
      <c r="P325">
        <v>35</v>
      </c>
      <c r="Q325" t="s">
        <v>94</v>
      </c>
    </row>
    <row r="326" spans="1:17">
      <c r="A326" s="2" t="s">
        <v>605</v>
      </c>
      <c r="B326" s="6" t="s">
        <v>558</v>
      </c>
      <c r="C326" t="s">
        <v>23</v>
      </c>
      <c r="D326" t="s">
        <v>23</v>
      </c>
      <c r="E326" t="s">
        <v>23</v>
      </c>
      <c r="M326" s="2" t="s">
        <v>271</v>
      </c>
      <c r="N326" t="s">
        <v>272</v>
      </c>
      <c r="O326">
        <v>3</v>
      </c>
      <c r="P326">
        <v>35</v>
      </c>
      <c r="Q326" t="s">
        <v>94</v>
      </c>
    </row>
    <row r="327" spans="1:17">
      <c r="A327" s="2" t="s">
        <v>606</v>
      </c>
      <c r="B327" s="6" t="s">
        <v>558</v>
      </c>
      <c r="C327" t="s">
        <v>23</v>
      </c>
      <c r="D327" t="s">
        <v>23</v>
      </c>
      <c r="E327" t="s">
        <v>23</v>
      </c>
      <c r="M327" s="2" t="s">
        <v>273</v>
      </c>
      <c r="N327" t="s">
        <v>274</v>
      </c>
      <c r="O327">
        <v>3</v>
      </c>
      <c r="P327">
        <v>35</v>
      </c>
      <c r="Q327" t="s">
        <v>94</v>
      </c>
    </row>
    <row r="328" spans="1:17">
      <c r="A328" s="2" t="s">
        <v>607</v>
      </c>
      <c r="B328" s="6" t="s">
        <v>558</v>
      </c>
      <c r="C328" t="s">
        <v>23</v>
      </c>
      <c r="D328" t="s">
        <v>23</v>
      </c>
      <c r="E328" t="s">
        <v>23</v>
      </c>
      <c r="M328" s="2" t="s">
        <v>275</v>
      </c>
      <c r="N328" t="s">
        <v>276</v>
      </c>
      <c r="O328">
        <v>3</v>
      </c>
      <c r="P328">
        <v>35</v>
      </c>
      <c r="Q328" t="s">
        <v>94</v>
      </c>
    </row>
    <row r="329" spans="1:17">
      <c r="A329" s="2" t="s">
        <v>608</v>
      </c>
      <c r="B329" s="6" t="s">
        <v>558</v>
      </c>
      <c r="C329" t="s">
        <v>23</v>
      </c>
      <c r="D329" t="s">
        <v>23</v>
      </c>
      <c r="E329" t="s">
        <v>23</v>
      </c>
      <c r="M329" s="2" t="s">
        <v>277</v>
      </c>
      <c r="N329" t="s">
        <v>278</v>
      </c>
      <c r="O329">
        <v>3</v>
      </c>
      <c r="P329">
        <v>35</v>
      </c>
      <c r="Q329" t="s">
        <v>94</v>
      </c>
    </row>
    <row r="330" spans="1:17">
      <c r="A330" s="2" t="s">
        <v>609</v>
      </c>
      <c r="B330" s="6" t="s">
        <v>558</v>
      </c>
      <c r="C330" t="s">
        <v>23</v>
      </c>
      <c r="D330" t="s">
        <v>23</v>
      </c>
      <c r="E330" t="s">
        <v>23</v>
      </c>
      <c r="M330" s="2" t="s">
        <v>279</v>
      </c>
      <c r="N330" t="s">
        <v>280</v>
      </c>
      <c r="O330">
        <v>3</v>
      </c>
      <c r="P330">
        <v>35</v>
      </c>
      <c r="Q330" t="s">
        <v>94</v>
      </c>
    </row>
    <row r="331" spans="1:17">
      <c r="A331" s="2" t="s">
        <v>610</v>
      </c>
      <c r="B331" s="6" t="s">
        <v>558</v>
      </c>
      <c r="C331" t="s">
        <v>23</v>
      </c>
      <c r="D331" t="s">
        <v>23</v>
      </c>
      <c r="E331" t="s">
        <v>23</v>
      </c>
      <c r="M331" s="2" t="s">
        <v>281</v>
      </c>
      <c r="N331" t="s">
        <v>282</v>
      </c>
      <c r="O331">
        <v>3</v>
      </c>
      <c r="P331">
        <v>35</v>
      </c>
      <c r="Q331" t="s">
        <v>94</v>
      </c>
    </row>
    <row r="332" spans="1:17">
      <c r="A332" s="2" t="s">
        <v>611</v>
      </c>
      <c r="B332" s="6" t="s">
        <v>558</v>
      </c>
      <c r="C332" t="s">
        <v>23</v>
      </c>
      <c r="D332" t="s">
        <v>23</v>
      </c>
      <c r="E332" t="s">
        <v>23</v>
      </c>
      <c r="M332" s="2" t="s">
        <v>283</v>
      </c>
      <c r="N332" t="s">
        <v>284</v>
      </c>
      <c r="O332">
        <v>3</v>
      </c>
      <c r="P332">
        <v>35</v>
      </c>
      <c r="Q332" t="s">
        <v>94</v>
      </c>
    </row>
    <row r="333" spans="1:17">
      <c r="A333" s="2" t="s">
        <v>612</v>
      </c>
      <c r="B333" s="6" t="s">
        <v>558</v>
      </c>
      <c r="C333" t="s">
        <v>23</v>
      </c>
      <c r="D333" t="s">
        <v>23</v>
      </c>
      <c r="E333" t="s">
        <v>23</v>
      </c>
      <c r="M333" s="2" t="s">
        <v>285</v>
      </c>
      <c r="N333" t="s">
        <v>286</v>
      </c>
      <c r="O333">
        <v>3</v>
      </c>
      <c r="P333">
        <v>35</v>
      </c>
      <c r="Q333" t="s">
        <v>94</v>
      </c>
    </row>
    <row r="334" spans="1:17">
      <c r="A334" s="2" t="s">
        <v>613</v>
      </c>
      <c r="B334" s="6" t="s">
        <v>558</v>
      </c>
      <c r="C334" t="s">
        <v>23</v>
      </c>
      <c r="D334" t="s">
        <v>23</v>
      </c>
      <c r="E334" t="s">
        <v>23</v>
      </c>
      <c r="M334" s="2" t="s">
        <v>287</v>
      </c>
      <c r="N334" t="s">
        <v>288</v>
      </c>
      <c r="O334">
        <v>3</v>
      </c>
      <c r="P334">
        <v>35</v>
      </c>
      <c r="Q334" t="s">
        <v>94</v>
      </c>
    </row>
    <row r="335" spans="1:17">
      <c r="A335" s="2" t="s">
        <v>614</v>
      </c>
      <c r="B335" s="6" t="s">
        <v>558</v>
      </c>
      <c r="C335" t="s">
        <v>23</v>
      </c>
      <c r="D335" t="s">
        <v>23</v>
      </c>
      <c r="E335" t="s">
        <v>23</v>
      </c>
      <c r="M335" s="2" t="s">
        <v>289</v>
      </c>
      <c r="N335" t="s">
        <v>290</v>
      </c>
      <c r="O335">
        <v>3</v>
      </c>
      <c r="P335">
        <v>35</v>
      </c>
      <c r="Q335" t="s">
        <v>94</v>
      </c>
    </row>
    <row r="336" spans="1:17">
      <c r="A336" s="2" t="s">
        <v>615</v>
      </c>
      <c r="B336" s="6" t="s">
        <v>558</v>
      </c>
      <c r="C336" t="s">
        <v>23</v>
      </c>
      <c r="D336" t="s">
        <v>23</v>
      </c>
      <c r="E336" t="s">
        <v>23</v>
      </c>
      <c r="M336" s="2" t="s">
        <v>291</v>
      </c>
      <c r="N336" t="s">
        <v>292</v>
      </c>
      <c r="O336" t="s">
        <v>23</v>
      </c>
      <c r="P336">
        <v>35</v>
      </c>
      <c r="Q336" t="s">
        <v>94</v>
      </c>
    </row>
    <row r="337" spans="1:17">
      <c r="A337" s="2" t="s">
        <v>616</v>
      </c>
      <c r="B337" s="6" t="s">
        <v>558</v>
      </c>
      <c r="C337" t="s">
        <v>23</v>
      </c>
      <c r="D337" t="s">
        <v>23</v>
      </c>
      <c r="E337" t="s">
        <v>23</v>
      </c>
    </row>
    <row r="338" spans="1:17">
      <c r="A338" s="2" t="s">
        <v>617</v>
      </c>
      <c r="B338" s="7" t="s">
        <v>618</v>
      </c>
      <c r="C338" t="s">
        <v>23</v>
      </c>
      <c r="D338" t="s">
        <v>23</v>
      </c>
      <c r="E338" t="s">
        <v>23</v>
      </c>
    </row>
    <row r="339" spans="1:17">
      <c r="A339" s="2" t="s">
        <v>619</v>
      </c>
      <c r="B339" s="7" t="s">
        <v>618</v>
      </c>
      <c r="C339" t="s">
        <v>23</v>
      </c>
      <c r="D339" t="s">
        <v>23</v>
      </c>
      <c r="E339" t="s">
        <v>23</v>
      </c>
      <c r="K339" t="s">
        <v>713</v>
      </c>
      <c r="L339" t="s">
        <v>295</v>
      </c>
      <c r="M339" t="s">
        <v>293</v>
      </c>
      <c r="N339" t="s">
        <v>294</v>
      </c>
      <c r="O339" t="s">
        <v>23</v>
      </c>
      <c r="P339">
        <v>500</v>
      </c>
      <c r="Q339" t="s">
        <v>295</v>
      </c>
    </row>
    <row r="340" spans="1:17">
      <c r="A340" s="2" t="s">
        <v>620</v>
      </c>
      <c r="B340" s="7" t="s">
        <v>618</v>
      </c>
      <c r="C340" t="s">
        <v>23</v>
      </c>
      <c r="D340" t="s">
        <v>23</v>
      </c>
      <c r="E340" t="s">
        <v>23</v>
      </c>
      <c r="M340" t="s">
        <v>296</v>
      </c>
      <c r="N340" t="s">
        <v>297</v>
      </c>
      <c r="O340" t="s">
        <v>23</v>
      </c>
      <c r="P340">
        <v>501</v>
      </c>
      <c r="Q340" t="s">
        <v>295</v>
      </c>
    </row>
    <row r="341" spans="1:17">
      <c r="A341" s="2" t="s">
        <v>621</v>
      </c>
      <c r="B341" s="7" t="s">
        <v>618</v>
      </c>
      <c r="C341" t="s">
        <v>23</v>
      </c>
      <c r="D341" t="s">
        <v>23</v>
      </c>
      <c r="E341" t="s">
        <v>23</v>
      </c>
      <c r="M341" t="s">
        <v>298</v>
      </c>
      <c r="N341" t="s">
        <v>299</v>
      </c>
      <c r="O341" t="s">
        <v>23</v>
      </c>
      <c r="P341">
        <v>500</v>
      </c>
      <c r="Q341" t="s">
        <v>295</v>
      </c>
    </row>
    <row r="342" spans="1:17">
      <c r="A342" s="2" t="s">
        <v>622</v>
      </c>
      <c r="B342" s="7" t="s">
        <v>618</v>
      </c>
      <c r="C342" t="s">
        <v>23</v>
      </c>
      <c r="D342" t="s">
        <v>23</v>
      </c>
      <c r="E342" t="s">
        <v>23</v>
      </c>
      <c r="M342" t="s">
        <v>300</v>
      </c>
      <c r="N342" t="s">
        <v>301</v>
      </c>
      <c r="O342" t="s">
        <v>23</v>
      </c>
      <c r="P342">
        <v>500</v>
      </c>
      <c r="Q342" t="s">
        <v>295</v>
      </c>
    </row>
    <row r="343" spans="1:17">
      <c r="A343" s="2" t="s">
        <v>623</v>
      </c>
      <c r="B343" s="7" t="s">
        <v>618</v>
      </c>
      <c r="C343" t="s">
        <v>23</v>
      </c>
      <c r="D343" t="s">
        <v>23</v>
      </c>
      <c r="E343" t="s">
        <v>23</v>
      </c>
      <c r="M343" t="s">
        <v>302</v>
      </c>
      <c r="N343" t="s">
        <v>303</v>
      </c>
      <c r="O343" t="s">
        <v>23</v>
      </c>
      <c r="P343">
        <v>501</v>
      </c>
      <c r="Q343" t="s">
        <v>295</v>
      </c>
    </row>
    <row r="344" spans="1:17">
      <c r="A344" s="2" t="s">
        <v>624</v>
      </c>
      <c r="B344" s="7" t="s">
        <v>618</v>
      </c>
      <c r="C344" t="s">
        <v>23</v>
      </c>
      <c r="D344" t="s">
        <v>23</v>
      </c>
      <c r="E344" t="s">
        <v>23</v>
      </c>
      <c r="M344" t="s">
        <v>304</v>
      </c>
      <c r="N344" t="s">
        <v>305</v>
      </c>
      <c r="O344" t="s">
        <v>23</v>
      </c>
      <c r="P344">
        <v>501</v>
      </c>
      <c r="Q344" t="s">
        <v>295</v>
      </c>
    </row>
    <row r="345" spans="1:17">
      <c r="A345" s="2" t="s">
        <v>625</v>
      </c>
      <c r="B345" s="7" t="s">
        <v>618</v>
      </c>
      <c r="C345" t="s">
        <v>23</v>
      </c>
      <c r="D345" t="s">
        <v>23</v>
      </c>
      <c r="E345" t="s">
        <v>23</v>
      </c>
      <c r="M345" t="s">
        <v>306</v>
      </c>
      <c r="N345" t="s">
        <v>307</v>
      </c>
      <c r="O345" t="s">
        <v>23</v>
      </c>
      <c r="P345">
        <v>501</v>
      </c>
      <c r="Q345" t="s">
        <v>295</v>
      </c>
    </row>
    <row r="346" spans="1:17">
      <c r="A346" s="2" t="s">
        <v>626</v>
      </c>
      <c r="B346" s="7" t="s">
        <v>618</v>
      </c>
      <c r="C346" t="s">
        <v>23</v>
      </c>
      <c r="D346" t="s">
        <v>23</v>
      </c>
      <c r="E346" t="s">
        <v>23</v>
      </c>
      <c r="M346" t="s">
        <v>308</v>
      </c>
      <c r="N346" t="s">
        <v>309</v>
      </c>
      <c r="O346" t="s">
        <v>23</v>
      </c>
      <c r="P346">
        <v>501</v>
      </c>
      <c r="Q346" t="s">
        <v>295</v>
      </c>
    </row>
    <row r="347" spans="1:17">
      <c r="A347" s="2" t="s">
        <v>627</v>
      </c>
      <c r="B347" s="7" t="s">
        <v>628</v>
      </c>
      <c r="C347" t="s">
        <v>23</v>
      </c>
      <c r="D347" t="s">
        <v>23</v>
      </c>
      <c r="E347" t="s">
        <v>23</v>
      </c>
      <c r="M347" t="s">
        <v>310</v>
      </c>
      <c r="N347" t="s">
        <v>311</v>
      </c>
      <c r="O347" t="s">
        <v>23</v>
      </c>
      <c r="P347">
        <v>501</v>
      </c>
      <c r="Q347" t="s">
        <v>295</v>
      </c>
    </row>
    <row r="348" spans="1:17">
      <c r="A348" s="2" t="s">
        <v>629</v>
      </c>
      <c r="B348" s="7" t="s">
        <v>628</v>
      </c>
      <c r="C348" t="s">
        <v>23</v>
      </c>
      <c r="D348" t="s">
        <v>23</v>
      </c>
      <c r="E348" t="s">
        <v>23</v>
      </c>
      <c r="M348" t="s">
        <v>312</v>
      </c>
      <c r="N348" t="s">
        <v>313</v>
      </c>
      <c r="O348" t="s">
        <v>23</v>
      </c>
      <c r="P348">
        <v>501</v>
      </c>
      <c r="Q348" t="s">
        <v>295</v>
      </c>
    </row>
    <row r="349" spans="1:17">
      <c r="A349" s="2" t="s">
        <v>630</v>
      </c>
      <c r="B349" s="7" t="s">
        <v>628</v>
      </c>
      <c r="C349" t="s">
        <v>23</v>
      </c>
      <c r="D349" t="s">
        <v>23</v>
      </c>
      <c r="E349" t="s">
        <v>23</v>
      </c>
      <c r="M349" t="s">
        <v>314</v>
      </c>
      <c r="N349" t="s">
        <v>315</v>
      </c>
      <c r="O349" t="s">
        <v>23</v>
      </c>
      <c r="P349">
        <v>501</v>
      </c>
      <c r="Q349" t="s">
        <v>295</v>
      </c>
    </row>
    <row r="350" spans="1:17">
      <c r="A350" s="2" t="s">
        <v>631</v>
      </c>
      <c r="B350" s="7" t="s">
        <v>628</v>
      </c>
      <c r="C350" t="s">
        <v>23</v>
      </c>
      <c r="D350" t="s">
        <v>23</v>
      </c>
      <c r="E350" t="s">
        <v>23</v>
      </c>
      <c r="M350" t="s">
        <v>316</v>
      </c>
      <c r="N350" t="s">
        <v>317</v>
      </c>
      <c r="O350" t="s">
        <v>23</v>
      </c>
      <c r="P350">
        <v>501</v>
      </c>
      <c r="Q350" t="s">
        <v>295</v>
      </c>
    </row>
    <row r="351" spans="1:17">
      <c r="A351" s="2" t="s">
        <v>632</v>
      </c>
      <c r="B351" s="7" t="s">
        <v>628</v>
      </c>
      <c r="C351" t="s">
        <v>23</v>
      </c>
      <c r="D351" t="s">
        <v>23</v>
      </c>
      <c r="E351" t="s">
        <v>23</v>
      </c>
      <c r="M351" t="s">
        <v>318</v>
      </c>
      <c r="N351" t="s">
        <v>319</v>
      </c>
      <c r="O351" t="s">
        <v>23</v>
      </c>
      <c r="P351">
        <v>501</v>
      </c>
      <c r="Q351" t="s">
        <v>295</v>
      </c>
    </row>
    <row r="352" spans="1:17">
      <c r="A352" s="2" t="s">
        <v>633</v>
      </c>
      <c r="B352" s="7" t="s">
        <v>628</v>
      </c>
      <c r="C352" t="s">
        <v>23</v>
      </c>
      <c r="D352" t="s">
        <v>23</v>
      </c>
      <c r="E352" t="s">
        <v>23</v>
      </c>
      <c r="M352" t="s">
        <v>320</v>
      </c>
      <c r="N352" t="s">
        <v>321</v>
      </c>
      <c r="O352" t="s">
        <v>23</v>
      </c>
      <c r="P352">
        <v>501</v>
      </c>
      <c r="Q352" t="s">
        <v>295</v>
      </c>
    </row>
    <row r="353" spans="1:17">
      <c r="A353" s="2" t="s">
        <v>634</v>
      </c>
      <c r="B353" s="7" t="s">
        <v>635</v>
      </c>
      <c r="C353" t="s">
        <v>23</v>
      </c>
      <c r="D353">
        <v>0</v>
      </c>
      <c r="E353" t="s">
        <v>23</v>
      </c>
      <c r="M353" t="s">
        <v>322</v>
      </c>
      <c r="N353" t="s">
        <v>323</v>
      </c>
      <c r="O353" t="s">
        <v>23</v>
      </c>
      <c r="P353">
        <v>501</v>
      </c>
      <c r="Q353" t="s">
        <v>295</v>
      </c>
    </row>
    <row r="354" spans="1:17">
      <c r="A354" s="2" t="s">
        <v>636</v>
      </c>
      <c r="B354" s="7" t="s">
        <v>637</v>
      </c>
      <c r="C354" t="s">
        <v>23</v>
      </c>
      <c r="D354">
        <v>13</v>
      </c>
      <c r="E354" t="s">
        <v>23</v>
      </c>
      <c r="M354" t="s">
        <v>324</v>
      </c>
      <c r="N354" t="s">
        <v>325</v>
      </c>
      <c r="O354" t="s">
        <v>23</v>
      </c>
      <c r="P354">
        <v>501</v>
      </c>
      <c r="Q354" t="s">
        <v>295</v>
      </c>
    </row>
    <row r="355" spans="1:17">
      <c r="A355" s="2" t="s">
        <v>638</v>
      </c>
      <c r="B355" s="7" t="s">
        <v>637</v>
      </c>
      <c r="C355" t="s">
        <v>23</v>
      </c>
      <c r="D355">
        <v>13</v>
      </c>
      <c r="E355" t="s">
        <v>23</v>
      </c>
      <c r="M355" t="s">
        <v>326</v>
      </c>
      <c r="N355" t="s">
        <v>327</v>
      </c>
      <c r="O355" t="s">
        <v>23</v>
      </c>
      <c r="P355">
        <v>501</v>
      </c>
      <c r="Q355" t="s">
        <v>295</v>
      </c>
    </row>
    <row r="356" spans="1:17">
      <c r="A356" s="2" t="s">
        <v>639</v>
      </c>
      <c r="B356" s="7" t="s">
        <v>637</v>
      </c>
      <c r="C356" t="s">
        <v>23</v>
      </c>
      <c r="D356">
        <v>13</v>
      </c>
      <c r="E356" t="s">
        <v>23</v>
      </c>
      <c r="M356" t="s">
        <v>328</v>
      </c>
      <c r="N356" t="s">
        <v>329</v>
      </c>
      <c r="O356" t="s">
        <v>23</v>
      </c>
      <c r="P356">
        <v>501</v>
      </c>
      <c r="Q356" t="s">
        <v>295</v>
      </c>
    </row>
    <row r="357" spans="1:17">
      <c r="A357" s="2" t="s">
        <v>640</v>
      </c>
      <c r="B357" s="7" t="s">
        <v>637</v>
      </c>
      <c r="C357" t="s">
        <v>23</v>
      </c>
      <c r="D357">
        <v>13</v>
      </c>
      <c r="E357" t="s">
        <v>23</v>
      </c>
      <c r="M357" t="s">
        <v>330</v>
      </c>
      <c r="N357" t="s">
        <v>331</v>
      </c>
      <c r="O357" t="s">
        <v>23</v>
      </c>
      <c r="P357">
        <v>501</v>
      </c>
      <c r="Q357" t="s">
        <v>295</v>
      </c>
    </row>
    <row r="358" spans="1:17">
      <c r="A358" s="2" t="s">
        <v>641</v>
      </c>
      <c r="B358" s="7" t="s">
        <v>642</v>
      </c>
      <c r="C358" t="s">
        <v>23</v>
      </c>
      <c r="D358">
        <v>34</v>
      </c>
      <c r="E358" t="s">
        <v>23</v>
      </c>
      <c r="M358" t="s">
        <v>332</v>
      </c>
      <c r="N358" t="s">
        <v>333</v>
      </c>
      <c r="O358" t="s">
        <v>23</v>
      </c>
      <c r="P358">
        <v>501</v>
      </c>
      <c r="Q358" t="s">
        <v>295</v>
      </c>
    </row>
    <row r="359" spans="1:17">
      <c r="A359" s="2" t="s">
        <v>643</v>
      </c>
      <c r="B359" s="7" t="s">
        <v>642</v>
      </c>
      <c r="C359" t="s">
        <v>23</v>
      </c>
      <c r="D359">
        <v>34</v>
      </c>
      <c r="E359" t="s">
        <v>23</v>
      </c>
      <c r="M359" t="s">
        <v>334</v>
      </c>
      <c r="N359" t="s">
        <v>335</v>
      </c>
      <c r="O359" t="s">
        <v>23</v>
      </c>
      <c r="P359">
        <v>501</v>
      </c>
      <c r="Q359" t="s">
        <v>295</v>
      </c>
    </row>
    <row r="360" spans="1:17">
      <c r="A360" s="2" t="s">
        <v>644</v>
      </c>
      <c r="B360" s="7" t="s">
        <v>642</v>
      </c>
      <c r="C360" t="s">
        <v>23</v>
      </c>
      <c r="D360">
        <v>34</v>
      </c>
      <c r="E360" t="s">
        <v>23</v>
      </c>
      <c r="M360" t="s">
        <v>336</v>
      </c>
      <c r="N360" t="s">
        <v>337</v>
      </c>
      <c r="O360" t="s">
        <v>23</v>
      </c>
      <c r="P360">
        <v>501</v>
      </c>
      <c r="Q360" t="s">
        <v>295</v>
      </c>
    </row>
    <row r="361" spans="1:17">
      <c r="A361" s="2" t="s">
        <v>645</v>
      </c>
      <c r="B361" s="7" t="s">
        <v>642</v>
      </c>
      <c r="C361" t="s">
        <v>23</v>
      </c>
      <c r="D361">
        <v>34</v>
      </c>
      <c r="E361" t="s">
        <v>23</v>
      </c>
      <c r="M361" t="s">
        <v>338</v>
      </c>
      <c r="N361" t="s">
        <v>339</v>
      </c>
      <c r="O361" t="s">
        <v>23</v>
      </c>
      <c r="P361">
        <v>501</v>
      </c>
      <c r="Q361" t="s">
        <v>295</v>
      </c>
    </row>
    <row r="362" spans="1:17">
      <c r="A362" s="2" t="s">
        <v>646</v>
      </c>
      <c r="B362" s="7" t="s">
        <v>642</v>
      </c>
      <c r="C362" t="s">
        <v>23</v>
      </c>
      <c r="D362">
        <v>34</v>
      </c>
      <c r="E362" t="s">
        <v>23</v>
      </c>
      <c r="M362" t="s">
        <v>340</v>
      </c>
      <c r="N362" t="s">
        <v>341</v>
      </c>
      <c r="O362" t="s">
        <v>23</v>
      </c>
      <c r="P362">
        <v>500</v>
      </c>
      <c r="Q362" t="s">
        <v>295</v>
      </c>
    </row>
    <row r="363" spans="1:17">
      <c r="A363" s="2" t="s">
        <v>647</v>
      </c>
      <c r="B363" s="7" t="s">
        <v>642</v>
      </c>
      <c r="C363" t="s">
        <v>23</v>
      </c>
      <c r="D363">
        <v>34</v>
      </c>
      <c r="E363" t="s">
        <v>23</v>
      </c>
      <c r="M363" t="s">
        <v>342</v>
      </c>
      <c r="N363" t="s">
        <v>343</v>
      </c>
      <c r="O363" t="s">
        <v>23</v>
      </c>
      <c r="P363">
        <v>501</v>
      </c>
      <c r="Q363" t="s">
        <v>295</v>
      </c>
    </row>
    <row r="364" spans="1:17">
      <c r="A364" s="2" t="s">
        <v>648</v>
      </c>
      <c r="B364" s="7" t="s">
        <v>649</v>
      </c>
      <c r="C364" t="s">
        <v>23</v>
      </c>
      <c r="D364">
        <v>35</v>
      </c>
      <c r="E364" t="s">
        <v>23</v>
      </c>
      <c r="M364" t="s">
        <v>344</v>
      </c>
      <c r="N364" t="s">
        <v>345</v>
      </c>
      <c r="O364" t="s">
        <v>23</v>
      </c>
      <c r="P364">
        <v>501</v>
      </c>
      <c r="Q364" t="s">
        <v>295</v>
      </c>
    </row>
    <row r="365" spans="1:17">
      <c r="A365" s="2" t="s">
        <v>650</v>
      </c>
      <c r="B365" s="7" t="s">
        <v>649</v>
      </c>
      <c r="C365" t="s">
        <v>23</v>
      </c>
      <c r="D365">
        <v>35</v>
      </c>
      <c r="E365" t="s">
        <v>23</v>
      </c>
      <c r="M365" t="s">
        <v>346</v>
      </c>
      <c r="N365" t="s">
        <v>347</v>
      </c>
      <c r="O365" t="s">
        <v>23</v>
      </c>
      <c r="P365">
        <v>501</v>
      </c>
      <c r="Q365" t="s">
        <v>295</v>
      </c>
    </row>
    <row r="366" spans="1:17">
      <c r="A366" s="2" t="s">
        <v>651</v>
      </c>
      <c r="B366" s="7" t="s">
        <v>649</v>
      </c>
      <c r="C366" t="s">
        <v>23</v>
      </c>
      <c r="D366">
        <v>35</v>
      </c>
      <c r="E366" t="s">
        <v>23</v>
      </c>
      <c r="M366" t="s">
        <v>348</v>
      </c>
      <c r="N366" t="s">
        <v>349</v>
      </c>
      <c r="O366" t="s">
        <v>23</v>
      </c>
      <c r="P366">
        <v>501</v>
      </c>
      <c r="Q366" t="s">
        <v>295</v>
      </c>
    </row>
    <row r="367" spans="1:17">
      <c r="A367" s="2" t="s">
        <v>652</v>
      </c>
      <c r="B367" s="7" t="s">
        <v>649</v>
      </c>
      <c r="C367" t="s">
        <v>23</v>
      </c>
      <c r="D367">
        <v>35</v>
      </c>
      <c r="E367" t="s">
        <v>23</v>
      </c>
      <c r="M367" t="s">
        <v>350</v>
      </c>
      <c r="N367" t="s">
        <v>351</v>
      </c>
      <c r="O367" t="s">
        <v>23</v>
      </c>
      <c r="P367">
        <v>501</v>
      </c>
      <c r="Q367" t="s">
        <v>295</v>
      </c>
    </row>
    <row r="368" spans="1:17">
      <c r="A368" s="2" t="s">
        <v>653</v>
      </c>
      <c r="B368" s="7" t="s">
        <v>649</v>
      </c>
      <c r="C368" t="s">
        <v>23</v>
      </c>
      <c r="D368">
        <v>35</v>
      </c>
      <c r="E368" t="s">
        <v>23</v>
      </c>
      <c r="M368" t="s">
        <v>352</v>
      </c>
      <c r="N368" t="s">
        <v>353</v>
      </c>
      <c r="O368" t="s">
        <v>23</v>
      </c>
      <c r="P368">
        <v>501</v>
      </c>
      <c r="Q368" t="s">
        <v>295</v>
      </c>
    </row>
    <row r="369" spans="1:17">
      <c r="A369" s="2" t="s">
        <v>654</v>
      </c>
      <c r="B369" s="7" t="s">
        <v>649</v>
      </c>
      <c r="C369" t="s">
        <v>23</v>
      </c>
      <c r="D369">
        <v>35</v>
      </c>
      <c r="E369" t="s">
        <v>23</v>
      </c>
      <c r="M369" t="s">
        <v>354</v>
      </c>
      <c r="N369" t="s">
        <v>355</v>
      </c>
      <c r="O369" t="s">
        <v>23</v>
      </c>
      <c r="P369">
        <v>501</v>
      </c>
      <c r="Q369" t="s">
        <v>295</v>
      </c>
    </row>
    <row r="370" spans="1:17">
      <c r="A370" s="2" t="s">
        <v>655</v>
      </c>
      <c r="B370" s="7" t="s">
        <v>656</v>
      </c>
      <c r="C370" t="s">
        <v>23</v>
      </c>
      <c r="D370" t="s">
        <v>23</v>
      </c>
      <c r="E370" t="s">
        <v>23</v>
      </c>
      <c r="M370" t="s">
        <v>356</v>
      </c>
      <c r="N370" t="s">
        <v>357</v>
      </c>
      <c r="O370" t="s">
        <v>23</v>
      </c>
      <c r="P370">
        <v>501</v>
      </c>
      <c r="Q370" t="s">
        <v>295</v>
      </c>
    </row>
    <row r="371" spans="1:17">
      <c r="A371" s="2" t="s">
        <v>657</v>
      </c>
      <c r="B371" s="7" t="s">
        <v>656</v>
      </c>
      <c r="C371" t="s">
        <v>23</v>
      </c>
      <c r="D371" t="s">
        <v>23</v>
      </c>
      <c r="E371" t="s">
        <v>23</v>
      </c>
      <c r="M371" t="s">
        <v>358</v>
      </c>
      <c r="N371" t="s">
        <v>359</v>
      </c>
      <c r="O371" t="s">
        <v>23</v>
      </c>
      <c r="P371">
        <v>501</v>
      </c>
      <c r="Q371" t="s">
        <v>295</v>
      </c>
    </row>
    <row r="372" spans="1:17">
      <c r="A372" s="2" t="s">
        <v>658</v>
      </c>
      <c r="B372" s="7" t="s">
        <v>659</v>
      </c>
      <c r="C372" t="s">
        <v>23</v>
      </c>
      <c r="D372">
        <v>502</v>
      </c>
      <c r="E372" t="s">
        <v>23</v>
      </c>
      <c r="M372" t="s">
        <v>360</v>
      </c>
      <c r="N372" t="s">
        <v>361</v>
      </c>
      <c r="O372" t="s">
        <v>23</v>
      </c>
      <c r="P372">
        <v>501</v>
      </c>
      <c r="Q372" t="s">
        <v>295</v>
      </c>
    </row>
    <row r="373" spans="1:17">
      <c r="A373" s="2" t="s">
        <v>660</v>
      </c>
      <c r="B373" s="7" t="s">
        <v>659</v>
      </c>
      <c r="C373" t="s">
        <v>23</v>
      </c>
      <c r="D373">
        <v>502</v>
      </c>
      <c r="E373" t="s">
        <v>23</v>
      </c>
      <c r="M373" t="s">
        <v>362</v>
      </c>
      <c r="N373" t="s">
        <v>363</v>
      </c>
      <c r="O373" t="s">
        <v>23</v>
      </c>
      <c r="P373">
        <v>501</v>
      </c>
      <c r="Q373" t="s">
        <v>295</v>
      </c>
    </row>
    <row r="374" spans="1:17">
      <c r="A374" s="2" t="s">
        <v>661</v>
      </c>
      <c r="B374" s="7" t="s">
        <v>659</v>
      </c>
      <c r="C374" t="s">
        <v>23</v>
      </c>
      <c r="D374">
        <v>502</v>
      </c>
      <c r="E374" t="s">
        <v>23</v>
      </c>
      <c r="M374" t="s">
        <v>364</v>
      </c>
      <c r="N374" t="s">
        <v>365</v>
      </c>
      <c r="O374" t="s">
        <v>23</v>
      </c>
      <c r="P374">
        <v>501</v>
      </c>
      <c r="Q374" t="s">
        <v>295</v>
      </c>
    </row>
    <row r="375" spans="1:17">
      <c r="A375" s="2" t="s">
        <v>662</v>
      </c>
      <c r="B375" s="7" t="s">
        <v>659</v>
      </c>
      <c r="C375" t="s">
        <v>23</v>
      </c>
      <c r="D375">
        <v>502</v>
      </c>
      <c r="E375" t="s">
        <v>23</v>
      </c>
      <c r="M375" t="s">
        <v>366</v>
      </c>
      <c r="N375" t="s">
        <v>367</v>
      </c>
      <c r="O375" t="s">
        <v>23</v>
      </c>
      <c r="P375">
        <v>501</v>
      </c>
      <c r="Q375" t="s">
        <v>295</v>
      </c>
    </row>
    <row r="376" spans="1:17">
      <c r="A376" s="2" t="s">
        <v>663</v>
      </c>
      <c r="B376" s="7" t="s">
        <v>659</v>
      </c>
      <c r="C376" t="s">
        <v>23</v>
      </c>
      <c r="D376">
        <v>502</v>
      </c>
      <c r="E376" t="s">
        <v>23</v>
      </c>
      <c r="M376" t="s">
        <v>368</v>
      </c>
      <c r="N376" t="s">
        <v>369</v>
      </c>
      <c r="O376" t="s">
        <v>23</v>
      </c>
      <c r="P376">
        <v>501</v>
      </c>
      <c r="Q376" t="s">
        <v>295</v>
      </c>
    </row>
    <row r="377" spans="1:17">
      <c r="A377" s="2" t="s">
        <v>664</v>
      </c>
      <c r="B377" s="7" t="s">
        <v>659</v>
      </c>
      <c r="C377" t="s">
        <v>23</v>
      </c>
      <c r="D377">
        <v>502</v>
      </c>
      <c r="E377" t="s">
        <v>23</v>
      </c>
      <c r="M377" t="s">
        <v>370</v>
      </c>
      <c r="N377" t="s">
        <v>371</v>
      </c>
      <c r="O377" t="s">
        <v>23</v>
      </c>
      <c r="P377">
        <v>501</v>
      </c>
      <c r="Q377" t="s">
        <v>295</v>
      </c>
    </row>
    <row r="378" spans="1:17">
      <c r="A378" s="2" t="s">
        <v>665</v>
      </c>
      <c r="B378" s="7" t="s">
        <v>659</v>
      </c>
      <c r="C378" t="s">
        <v>23</v>
      </c>
      <c r="D378">
        <v>502</v>
      </c>
      <c r="E378" t="s">
        <v>23</v>
      </c>
      <c r="M378" t="s">
        <v>372</v>
      </c>
      <c r="N378" t="s">
        <v>373</v>
      </c>
      <c r="O378" t="s">
        <v>23</v>
      </c>
      <c r="P378">
        <v>501</v>
      </c>
      <c r="Q378" t="s">
        <v>295</v>
      </c>
    </row>
    <row r="379" spans="1:17">
      <c r="A379" s="2" t="s">
        <v>666</v>
      </c>
      <c r="B379" s="7" t="s">
        <v>659</v>
      </c>
      <c r="C379" t="s">
        <v>23</v>
      </c>
      <c r="D379">
        <v>502</v>
      </c>
      <c r="E379" t="s">
        <v>23</v>
      </c>
      <c r="M379" t="s">
        <v>374</v>
      </c>
      <c r="N379" t="s">
        <v>375</v>
      </c>
      <c r="O379" t="s">
        <v>23</v>
      </c>
      <c r="P379">
        <v>501</v>
      </c>
      <c r="Q379" t="s">
        <v>295</v>
      </c>
    </row>
    <row r="380" spans="1:17">
      <c r="A380" s="2" t="s">
        <v>667</v>
      </c>
      <c r="B380" s="7" t="s">
        <v>659</v>
      </c>
      <c r="C380" t="s">
        <v>23</v>
      </c>
      <c r="D380">
        <v>502</v>
      </c>
      <c r="E380" t="s">
        <v>23</v>
      </c>
      <c r="M380" t="s">
        <v>376</v>
      </c>
      <c r="N380" t="s">
        <v>377</v>
      </c>
      <c r="O380" t="s">
        <v>23</v>
      </c>
      <c r="P380">
        <v>501</v>
      </c>
      <c r="Q380" t="s">
        <v>295</v>
      </c>
    </row>
    <row r="381" spans="1:17">
      <c r="A381" s="2" t="s">
        <v>668</v>
      </c>
      <c r="B381" s="7" t="s">
        <v>659</v>
      </c>
      <c r="C381" t="s">
        <v>23</v>
      </c>
      <c r="D381">
        <v>502</v>
      </c>
      <c r="E381" t="s">
        <v>23</v>
      </c>
      <c r="M381" t="s">
        <v>378</v>
      </c>
      <c r="N381" t="s">
        <v>379</v>
      </c>
      <c r="O381" t="s">
        <v>23</v>
      </c>
      <c r="P381">
        <v>501</v>
      </c>
      <c r="Q381" t="s">
        <v>295</v>
      </c>
    </row>
    <row r="382" spans="1:17">
      <c r="A382" s="2" t="s">
        <v>669</v>
      </c>
      <c r="B382" s="7" t="s">
        <v>670</v>
      </c>
      <c r="C382" t="s">
        <v>23</v>
      </c>
      <c r="D382" t="s">
        <v>23</v>
      </c>
      <c r="E382" t="s">
        <v>23</v>
      </c>
      <c r="M382" t="s">
        <v>380</v>
      </c>
      <c r="N382" t="s">
        <v>381</v>
      </c>
      <c r="O382" t="s">
        <v>23</v>
      </c>
      <c r="P382">
        <v>501</v>
      </c>
      <c r="Q382" t="s">
        <v>295</v>
      </c>
    </row>
    <row r="383" spans="1:17">
      <c r="A383" s="2" t="s">
        <v>671</v>
      </c>
      <c r="B383" s="7" t="s">
        <v>672</v>
      </c>
      <c r="C383" t="s">
        <v>23</v>
      </c>
      <c r="D383" t="s">
        <v>23</v>
      </c>
      <c r="E383" t="s">
        <v>23</v>
      </c>
      <c r="M383" t="s">
        <v>382</v>
      </c>
      <c r="N383" t="s">
        <v>383</v>
      </c>
      <c r="O383" t="s">
        <v>23</v>
      </c>
      <c r="P383">
        <v>500</v>
      </c>
      <c r="Q383" t="s">
        <v>295</v>
      </c>
    </row>
    <row r="384" spans="1:17">
      <c r="A384" s="2" t="s">
        <v>673</v>
      </c>
      <c r="B384" s="7" t="s">
        <v>672</v>
      </c>
      <c r="C384" t="s">
        <v>23</v>
      </c>
      <c r="D384" t="s">
        <v>23</v>
      </c>
      <c r="E384" t="s">
        <v>23</v>
      </c>
      <c r="M384" t="s">
        <v>384</v>
      </c>
      <c r="N384" t="s">
        <v>385</v>
      </c>
      <c r="O384" t="s">
        <v>23</v>
      </c>
      <c r="P384">
        <v>500</v>
      </c>
      <c r="Q384" t="s">
        <v>295</v>
      </c>
    </row>
    <row r="385" spans="1:17">
      <c r="A385" s="2" t="s">
        <v>674</v>
      </c>
      <c r="B385" s="7" t="s">
        <v>672</v>
      </c>
      <c r="C385" t="s">
        <v>23</v>
      </c>
      <c r="D385" t="s">
        <v>23</v>
      </c>
      <c r="E385" t="s">
        <v>23</v>
      </c>
      <c r="M385" t="s">
        <v>386</v>
      </c>
      <c r="N385" t="s">
        <v>387</v>
      </c>
      <c r="O385" t="s">
        <v>23</v>
      </c>
      <c r="P385">
        <v>500</v>
      </c>
      <c r="Q385" t="s">
        <v>295</v>
      </c>
    </row>
    <row r="386" spans="1:17">
      <c r="A386" s="2" t="s">
        <v>675</v>
      </c>
      <c r="B386" s="7" t="s">
        <v>672</v>
      </c>
      <c r="C386" t="s">
        <v>23</v>
      </c>
      <c r="D386" t="s">
        <v>23</v>
      </c>
      <c r="E386" t="s">
        <v>23</v>
      </c>
      <c r="M386" t="s">
        <v>388</v>
      </c>
      <c r="N386" t="s">
        <v>389</v>
      </c>
      <c r="O386" t="s">
        <v>23</v>
      </c>
      <c r="P386">
        <v>500</v>
      </c>
      <c r="Q386" t="s">
        <v>295</v>
      </c>
    </row>
    <row r="387" spans="1:17">
      <c r="A387" s="2" t="s">
        <v>676</v>
      </c>
      <c r="B387" s="7" t="s">
        <v>672</v>
      </c>
      <c r="C387" t="s">
        <v>23</v>
      </c>
      <c r="D387" t="s">
        <v>23</v>
      </c>
      <c r="E387" t="s">
        <v>23</v>
      </c>
      <c r="M387" t="s">
        <v>390</v>
      </c>
      <c r="N387" t="s">
        <v>391</v>
      </c>
      <c r="O387" t="s">
        <v>23</v>
      </c>
      <c r="P387">
        <v>500</v>
      </c>
      <c r="Q387" t="s">
        <v>295</v>
      </c>
    </row>
    <row r="388" spans="1:17">
      <c r="A388" s="2" t="s">
        <v>677</v>
      </c>
      <c r="B388" s="7" t="s">
        <v>678</v>
      </c>
      <c r="C388" t="s">
        <v>23</v>
      </c>
      <c r="D388" t="s">
        <v>23</v>
      </c>
      <c r="E388" t="s">
        <v>23</v>
      </c>
      <c r="M388" t="s">
        <v>392</v>
      </c>
      <c r="N388" t="s">
        <v>393</v>
      </c>
      <c r="O388" t="s">
        <v>23</v>
      </c>
      <c r="P388">
        <v>500</v>
      </c>
      <c r="Q388" t="s">
        <v>295</v>
      </c>
    </row>
    <row r="389" spans="1:17">
      <c r="A389" s="2" t="s">
        <v>679</v>
      </c>
      <c r="B389" s="7" t="s">
        <v>678</v>
      </c>
      <c r="C389" t="s">
        <v>23</v>
      </c>
      <c r="D389" t="s">
        <v>23</v>
      </c>
      <c r="E389" t="s">
        <v>23</v>
      </c>
      <c r="M389" t="s">
        <v>394</v>
      </c>
      <c r="N389" t="s">
        <v>395</v>
      </c>
      <c r="O389" t="s">
        <v>23</v>
      </c>
      <c r="P389">
        <v>500</v>
      </c>
      <c r="Q389" t="s">
        <v>295</v>
      </c>
    </row>
    <row r="390" spans="1:17">
      <c r="A390" s="2" t="s">
        <v>680</v>
      </c>
      <c r="B390" s="7" t="s">
        <v>678</v>
      </c>
      <c r="C390" t="s">
        <v>23</v>
      </c>
      <c r="D390" t="s">
        <v>23</v>
      </c>
      <c r="E390" t="s">
        <v>23</v>
      </c>
      <c r="M390" t="s">
        <v>396</v>
      </c>
      <c r="N390" t="s">
        <v>397</v>
      </c>
      <c r="O390" t="s">
        <v>23</v>
      </c>
      <c r="P390">
        <v>500</v>
      </c>
      <c r="Q390" t="s">
        <v>295</v>
      </c>
    </row>
    <row r="391" spans="1:17">
      <c r="A391" s="2" t="s">
        <v>681</v>
      </c>
      <c r="B391" s="7" t="s">
        <v>678</v>
      </c>
      <c r="C391" t="s">
        <v>23</v>
      </c>
      <c r="D391" t="s">
        <v>23</v>
      </c>
      <c r="E391" t="s">
        <v>23</v>
      </c>
      <c r="M391" t="s">
        <v>398</v>
      </c>
      <c r="N391" t="s">
        <v>399</v>
      </c>
      <c r="O391" t="s">
        <v>23</v>
      </c>
      <c r="P391">
        <v>500</v>
      </c>
      <c r="Q391" t="s">
        <v>295</v>
      </c>
    </row>
    <row r="392" spans="1:17">
      <c r="A392" s="2" t="s">
        <v>682</v>
      </c>
      <c r="B392" s="7" t="s">
        <v>678</v>
      </c>
      <c r="C392" t="s">
        <v>23</v>
      </c>
      <c r="D392" t="s">
        <v>23</v>
      </c>
      <c r="E392" t="s">
        <v>23</v>
      </c>
      <c r="M392" t="s">
        <v>400</v>
      </c>
      <c r="N392" t="s">
        <v>401</v>
      </c>
      <c r="O392" t="s">
        <v>23</v>
      </c>
      <c r="P392">
        <v>500</v>
      </c>
      <c r="Q392" t="s">
        <v>295</v>
      </c>
    </row>
    <row r="393" spans="1:17">
      <c r="A393" s="2" t="s">
        <v>683</v>
      </c>
      <c r="B393" s="7" t="s">
        <v>678</v>
      </c>
      <c r="C393" t="s">
        <v>23</v>
      </c>
      <c r="D393" t="s">
        <v>23</v>
      </c>
      <c r="E393" t="s">
        <v>23</v>
      </c>
      <c r="M393" t="s">
        <v>402</v>
      </c>
      <c r="N393" t="s">
        <v>403</v>
      </c>
      <c r="O393" t="s">
        <v>23</v>
      </c>
      <c r="P393">
        <v>500</v>
      </c>
      <c r="Q393" t="s">
        <v>295</v>
      </c>
    </row>
    <row r="394" spans="1:17">
      <c r="A394" s="2" t="s">
        <v>684</v>
      </c>
      <c r="B394" s="7" t="s">
        <v>685</v>
      </c>
      <c r="C394" t="s">
        <v>23</v>
      </c>
      <c r="D394">
        <v>500</v>
      </c>
      <c r="E394" t="s">
        <v>23</v>
      </c>
      <c r="M394" t="s">
        <v>404</v>
      </c>
      <c r="N394" t="s">
        <v>405</v>
      </c>
      <c r="O394" t="s">
        <v>23</v>
      </c>
      <c r="P394">
        <v>500</v>
      </c>
      <c r="Q394" t="s">
        <v>295</v>
      </c>
    </row>
    <row r="395" spans="1:17">
      <c r="A395" s="2" t="s">
        <v>686</v>
      </c>
      <c r="B395" s="7" t="s">
        <v>685</v>
      </c>
      <c r="C395" t="s">
        <v>23</v>
      </c>
      <c r="D395">
        <v>500</v>
      </c>
      <c r="E395" t="s">
        <v>23</v>
      </c>
      <c r="M395" t="s">
        <v>406</v>
      </c>
      <c r="N395" t="s">
        <v>407</v>
      </c>
      <c r="O395" t="s">
        <v>23</v>
      </c>
      <c r="P395">
        <v>500</v>
      </c>
      <c r="Q395" t="s">
        <v>295</v>
      </c>
    </row>
    <row r="396" spans="1:17">
      <c r="A396" s="2" t="s">
        <v>687</v>
      </c>
      <c r="B396" s="7" t="s">
        <v>688</v>
      </c>
      <c r="C396" t="s">
        <v>23</v>
      </c>
      <c r="D396">
        <v>501</v>
      </c>
      <c r="E396" t="s">
        <v>23</v>
      </c>
      <c r="M396" t="s">
        <v>408</v>
      </c>
      <c r="N396" t="s">
        <v>409</v>
      </c>
      <c r="O396" t="s">
        <v>23</v>
      </c>
      <c r="P396">
        <v>500</v>
      </c>
      <c r="Q396" t="s">
        <v>295</v>
      </c>
    </row>
    <row r="397" spans="1:17">
      <c r="A397" s="2" t="s">
        <v>689</v>
      </c>
      <c r="B397" s="7" t="s">
        <v>688</v>
      </c>
      <c r="C397" t="s">
        <v>23</v>
      </c>
      <c r="D397">
        <v>501</v>
      </c>
      <c r="E397" t="s">
        <v>23</v>
      </c>
    </row>
    <row r="398" spans="1:17">
      <c r="A398" s="2" t="s">
        <v>690</v>
      </c>
      <c r="B398" s="7" t="s">
        <v>688</v>
      </c>
      <c r="C398" t="s">
        <v>23</v>
      </c>
      <c r="D398">
        <v>501</v>
      </c>
      <c r="E398" t="s">
        <v>23</v>
      </c>
    </row>
    <row r="399" spans="1:17">
      <c r="A399" s="2" t="s">
        <v>691</v>
      </c>
      <c r="B399" s="7" t="s">
        <v>688</v>
      </c>
      <c r="C399" t="s">
        <v>23</v>
      </c>
      <c r="D399">
        <v>501</v>
      </c>
      <c r="E399" t="s">
        <v>23</v>
      </c>
      <c r="K399" t="s">
        <v>714</v>
      </c>
      <c r="L399" t="s">
        <v>66</v>
      </c>
      <c r="M399" s="2" t="s">
        <v>65</v>
      </c>
      <c r="N399" t="s">
        <v>66</v>
      </c>
      <c r="O399" t="s">
        <v>23</v>
      </c>
      <c r="P399" t="s">
        <v>67</v>
      </c>
      <c r="Q399" t="s">
        <v>23</v>
      </c>
    </row>
    <row r="400" spans="1:17">
      <c r="A400" s="2" t="s">
        <v>692</v>
      </c>
      <c r="B400" t="s">
        <v>693</v>
      </c>
      <c r="C400" t="s">
        <v>23</v>
      </c>
      <c r="D400">
        <v>502</v>
      </c>
      <c r="E400" t="s">
        <v>412</v>
      </c>
      <c r="M400" s="2" t="s">
        <v>68</v>
      </c>
      <c r="N400" t="s">
        <v>66</v>
      </c>
      <c r="O400" t="s">
        <v>23</v>
      </c>
      <c r="P400" t="s">
        <v>67</v>
      </c>
      <c r="Q400" t="s">
        <v>23</v>
      </c>
    </row>
    <row r="401" spans="1:17">
      <c r="A401" s="2" t="s">
        <v>694</v>
      </c>
      <c r="B401" t="s">
        <v>695</v>
      </c>
      <c r="C401" t="s">
        <v>23</v>
      </c>
      <c r="D401">
        <v>502</v>
      </c>
      <c r="E401" t="s">
        <v>412</v>
      </c>
      <c r="M401" s="2" t="s">
        <v>69</v>
      </c>
      <c r="N401" t="s">
        <v>66</v>
      </c>
      <c r="O401" t="s">
        <v>23</v>
      </c>
      <c r="P401" t="s">
        <v>67</v>
      </c>
      <c r="Q401" t="s">
        <v>23</v>
      </c>
    </row>
    <row r="402" spans="1:17">
      <c r="M402" s="2" t="s">
        <v>70</v>
      </c>
      <c r="N402" t="s">
        <v>66</v>
      </c>
      <c r="O402" t="s">
        <v>23</v>
      </c>
      <c r="P402" t="s">
        <v>67</v>
      </c>
      <c r="Q402" t="s">
        <v>23</v>
      </c>
    </row>
    <row r="403" spans="1:17">
      <c r="M403" s="2" t="s">
        <v>71</v>
      </c>
      <c r="N403" t="s">
        <v>66</v>
      </c>
      <c r="O403" t="s">
        <v>23</v>
      </c>
      <c r="P403" t="s">
        <v>67</v>
      </c>
      <c r="Q403" t="s">
        <v>23</v>
      </c>
    </row>
    <row r="404" spans="1:17">
      <c r="M404" s="2" t="s">
        <v>72</v>
      </c>
      <c r="N404" t="s">
        <v>66</v>
      </c>
      <c r="O404" t="s">
        <v>23</v>
      </c>
      <c r="P404" t="s">
        <v>67</v>
      </c>
      <c r="Q404" t="s">
        <v>23</v>
      </c>
    </row>
    <row r="405" spans="1:17">
      <c r="M405" s="2" t="s">
        <v>73</v>
      </c>
      <c r="N405" t="s">
        <v>66</v>
      </c>
      <c r="O405" t="s">
        <v>23</v>
      </c>
      <c r="P405" t="s">
        <v>67</v>
      </c>
      <c r="Q405" t="s">
        <v>23</v>
      </c>
    </row>
    <row r="406" spans="1:17">
      <c r="M406" s="2" t="s">
        <v>74</v>
      </c>
      <c r="N406" t="s">
        <v>66</v>
      </c>
      <c r="O406" t="s">
        <v>23</v>
      </c>
      <c r="P406" t="s">
        <v>67</v>
      </c>
      <c r="Q406" t="s">
        <v>23</v>
      </c>
    </row>
    <row r="407" spans="1:17">
      <c r="M407" s="2" t="s">
        <v>75</v>
      </c>
      <c r="N407" t="s">
        <v>66</v>
      </c>
      <c r="O407" t="s">
        <v>23</v>
      </c>
      <c r="P407" t="s">
        <v>67</v>
      </c>
      <c r="Q407" t="s">
        <v>23</v>
      </c>
    </row>
    <row r="408" spans="1:17">
      <c r="M408" s="2" t="s">
        <v>76</v>
      </c>
      <c r="N408" t="s">
        <v>66</v>
      </c>
      <c r="O408" t="s">
        <v>23</v>
      </c>
      <c r="P408" t="s">
        <v>67</v>
      </c>
      <c r="Q408" t="s">
        <v>23</v>
      </c>
    </row>
    <row r="409" spans="1:17">
      <c r="M409" s="2" t="s">
        <v>77</v>
      </c>
      <c r="N409" t="s">
        <v>66</v>
      </c>
      <c r="O409" t="s">
        <v>23</v>
      </c>
      <c r="P409" t="s">
        <v>67</v>
      </c>
      <c r="Q409" t="s">
        <v>23</v>
      </c>
    </row>
    <row r="410" spans="1:17">
      <c r="M410" s="2" t="s">
        <v>78</v>
      </c>
      <c r="N410" t="s">
        <v>66</v>
      </c>
      <c r="O410" t="s">
        <v>23</v>
      </c>
      <c r="P410" t="s">
        <v>67</v>
      </c>
      <c r="Q410" t="s">
        <v>23</v>
      </c>
    </row>
    <row r="411" spans="1:17">
      <c r="M411" s="2" t="s">
        <v>79</v>
      </c>
      <c r="N411" t="s">
        <v>66</v>
      </c>
      <c r="O411" t="s">
        <v>23</v>
      </c>
      <c r="P411" t="s">
        <v>67</v>
      </c>
      <c r="Q411" t="s">
        <v>23</v>
      </c>
    </row>
    <row r="412" spans="1:17">
      <c r="M412" s="2" t="s">
        <v>80</v>
      </c>
      <c r="N412" t="s">
        <v>66</v>
      </c>
      <c r="O412" t="s">
        <v>23</v>
      </c>
      <c r="P412" t="s">
        <v>67</v>
      </c>
      <c r="Q412" t="s">
        <v>23</v>
      </c>
    </row>
    <row r="413" spans="1:17">
      <c r="M413" s="2" t="s">
        <v>81</v>
      </c>
      <c r="N413" t="s">
        <v>66</v>
      </c>
      <c r="O413" t="s">
        <v>23</v>
      </c>
      <c r="P413" t="s">
        <v>67</v>
      </c>
      <c r="Q413" t="s">
        <v>23</v>
      </c>
    </row>
    <row r="414" spans="1:17">
      <c r="M414" s="2" t="s">
        <v>82</v>
      </c>
      <c r="N414" t="s">
        <v>66</v>
      </c>
      <c r="O414" t="s">
        <v>23</v>
      </c>
      <c r="P414" t="s">
        <v>67</v>
      </c>
      <c r="Q414" t="s">
        <v>23</v>
      </c>
    </row>
    <row r="415" spans="1:17">
      <c r="M415" s="2" t="s">
        <v>83</v>
      </c>
      <c r="N415" t="s">
        <v>66</v>
      </c>
      <c r="O415" t="s">
        <v>23</v>
      </c>
      <c r="P415" t="s">
        <v>67</v>
      </c>
      <c r="Q415" t="s">
        <v>23</v>
      </c>
    </row>
    <row r="416" spans="1:17">
      <c r="M416" s="2" t="s">
        <v>84</v>
      </c>
      <c r="N416" t="s">
        <v>66</v>
      </c>
      <c r="O416" t="s">
        <v>23</v>
      </c>
      <c r="P416" t="s">
        <v>67</v>
      </c>
      <c r="Q416" t="s">
        <v>23</v>
      </c>
    </row>
    <row r="417" spans="13:17">
      <c r="M417" s="2" t="s">
        <v>85</v>
      </c>
      <c r="N417" t="s">
        <v>66</v>
      </c>
      <c r="O417" t="s">
        <v>23</v>
      </c>
      <c r="P417" t="s">
        <v>67</v>
      </c>
      <c r="Q417" t="s">
        <v>23</v>
      </c>
    </row>
    <row r="418" spans="13:17">
      <c r="M418" s="2" t="s">
        <v>86</v>
      </c>
      <c r="N418" t="s">
        <v>66</v>
      </c>
      <c r="O418" t="s">
        <v>23</v>
      </c>
      <c r="P418" t="s">
        <v>67</v>
      </c>
      <c r="Q418" t="s">
        <v>23</v>
      </c>
    </row>
    <row r="419" spans="13:17">
      <c r="M419" s="2" t="s">
        <v>87</v>
      </c>
      <c r="N419" t="s">
        <v>66</v>
      </c>
      <c r="O419" t="s">
        <v>23</v>
      </c>
      <c r="P419" t="s">
        <v>67</v>
      </c>
      <c r="Q419" t="s">
        <v>23</v>
      </c>
    </row>
    <row r="420" spans="13:17">
      <c r="M420" s="2" t="s">
        <v>88</v>
      </c>
      <c r="N420" t="s">
        <v>66</v>
      </c>
      <c r="O420" t="s">
        <v>23</v>
      </c>
      <c r="P420" t="s">
        <v>67</v>
      </c>
      <c r="Q420" t="s">
        <v>23</v>
      </c>
    </row>
    <row r="421" spans="13:17">
      <c r="M421" s="2" t="s">
        <v>89</v>
      </c>
      <c r="N421" t="s">
        <v>66</v>
      </c>
      <c r="O421" t="s">
        <v>23</v>
      </c>
      <c r="P421" t="s">
        <v>67</v>
      </c>
      <c r="Q421" t="s">
        <v>23</v>
      </c>
    </row>
    <row r="422" spans="13:17">
      <c r="M422" s="2" t="s">
        <v>90</v>
      </c>
      <c r="N422" t="s">
        <v>66</v>
      </c>
      <c r="O422" t="s">
        <v>23</v>
      </c>
      <c r="P422" t="s">
        <v>67</v>
      </c>
      <c r="Q422" t="s">
        <v>23</v>
      </c>
    </row>
    <row r="423" spans="13:17">
      <c r="M423" s="2" t="s">
        <v>91</v>
      </c>
      <c r="N423" t="s">
        <v>66</v>
      </c>
      <c r="O423" t="s">
        <v>23</v>
      </c>
      <c r="P423" t="s">
        <v>67</v>
      </c>
      <c r="Q423" t="s">
        <v>23</v>
      </c>
    </row>
  </sheetData>
  <autoFilter ref="A1:E401" xr:uid="{C5E8CBA9-3B37-4354-9133-D71B0122E1E7}"/>
  <sortState xmlns:xlrd2="http://schemas.microsoft.com/office/spreadsheetml/2017/richdata2" ref="T27:U103">
    <sortCondition ref="T27:T103"/>
  </sortState>
  <conditionalFormatting sqref="M9:M423">
    <cfRule type="duplicateValues" dxfId="1" priority="2"/>
  </conditionalFormatting>
  <conditionalFormatting sqref="T27:U10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stackup</vt:lpstr>
      <vt:lpstr>Sheet1</vt:lpstr>
      <vt:lpstr>Sheet2</vt:lpstr>
      <vt:lpstr>voltage rails</vt:lpstr>
      <vt:lpstr>zynq pinout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Hdz. M.</dc:creator>
  <cp:lastModifiedBy>Gustavo Hernandez Meza</cp:lastModifiedBy>
  <dcterms:created xsi:type="dcterms:W3CDTF">2024-08-31T04:59:46Z</dcterms:created>
  <dcterms:modified xsi:type="dcterms:W3CDTF">2026-02-03T23:53:54Z</dcterms:modified>
</cp:coreProperties>
</file>